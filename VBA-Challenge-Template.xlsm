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Azriel Akbar\Downloads\VBA-Challenge\"/>
    </mc:Choice>
  </mc:AlternateContent>
  <xr:revisionPtr revIDLastSave="0" documentId="13_ncr:1_{DC12D543-5227-4523-945E-C706FA338F34}" xr6:coauthVersionLast="47" xr6:coauthVersionMax="47" xr10:uidLastSave="{00000000-0000-0000-0000-000000000000}"/>
  <bookViews>
    <workbookView xWindow="-110" yWindow="-110" windowWidth="19420" windowHeight="12220" tabRatio="744" activeTab="2" xr2:uid="{450319DB-2E13-424E-B7DB-6BB8E755D6D6}"/>
  </bookViews>
  <sheets>
    <sheet name="Dasbor" sheetId="74" r:id="rId1"/>
    <sheet name="PivotTable" sheetId="73" r:id="rId2"/>
    <sheet name="Import Data" sheetId="1" r:id="rId3"/>
  </sheets>
  <functionGroups builtInGroupCount="19"/>
  <definedNames>
    <definedName name="_xlcn.WorksheetConnection_VBAChallenge.xlsmCustomerData1" hidden="1">CustomerData</definedName>
    <definedName name="_xlcn.WorksheetConnection_VBAChallenge.xlsmProductData1" hidden="1">ProductData</definedName>
    <definedName name="_xlcn.WorksheetConnection_VBAChallenge.xlsmSalesData1" hidden="1">SalesData</definedName>
    <definedName name="Slicer_ProductCategory">#N/A</definedName>
    <definedName name="Slicer_Region">#N/A</definedName>
    <definedName name="Slicer_Year_Quarter">#N/A</definedName>
  </definedNames>
  <calcPr calcId="191029"/>
  <pivotCaches>
    <pivotCache cacheId="29" r:id="rId4"/>
    <pivotCache cacheId="32" r:id="rId5"/>
    <pivotCache cacheId="35" r:id="rId6"/>
    <pivotCache cacheId="38" r:id="rId7"/>
    <pivotCache cacheId="41" r:id="rId8"/>
    <pivotCache cacheId="44" r:id="rId9"/>
  </pivotCaches>
  <extLst>
    <ext xmlns:x14="http://schemas.microsoft.com/office/spreadsheetml/2009/9/main" uri="{876F7934-8845-4945-9796-88D515C7AA90}">
      <x14:pivotCaches>
        <pivotCache cacheId="28" r:id="rId10"/>
      </x14:pivotCaches>
    </ex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_2" name="SalesData" connection="WorksheetConnection_VBA-Challenge.xlsm!SalesData"/>
          <x15:modelTable id="Table2_1" name="ProductData" connection="WorksheetConnection_VBA-Challenge.xlsm!ProductData"/>
          <x15:modelTable id="Table2" name="CustomerData" connection="WorksheetConnection_VBA-Challenge.xlsm!CustomerData"/>
        </x15:modelTables>
        <x15:modelRelationships>
          <x15:modelRelationship fromTable="SalesData" fromColumn="CustomerID" toTable="CustomerData" toColumn="CustomerID"/>
          <x15:modelRelationship fromTable="SalesData" fromColumn="ProductID" toTable="ProductData" toColumn="ProductID"/>
        </x15:modelRelationships>
        <x15:extLst>
          <ext xmlns:x16="http://schemas.microsoft.com/office/spreadsheetml/2014/11/main" uri="{9835A34E-60A6-4A7C-AAB8-D5F71C897F49}">
            <x16:modelTimeGroupings>
              <x16:modelTimeGrouping tableName="SalesData" columnName="DateOfPurchase" columnId="DateOfPurchase">
                <x16:calculatedTimeColumn columnName="DateOfPurchase (Year)" columnId="DateOfPurchase (Year)" contentType="years" isSelected="1"/>
                <x16:calculatedTimeColumn columnName="DateOfPurchase (Quarter)" columnId="DateOfPurchase (Quarter)" contentType="quarters" isSelected="1"/>
                <x16:calculatedTimeColumn columnName="DateOfPurchase (Month Index)" columnId="DateOfPurchase (Month Index)" contentType="monthsindex" isSelected="0"/>
                <x16:calculatedTimeColumn columnName="DateOfPurchase (Month)" columnId="DateOfPurchase (Month)" contentType="month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73" l="1"/>
  <c r="D6" i="7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A46D7A-328E-4F42-AFC1-421A304421A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96F2F87-4CAF-436B-A906-B3526D1AF9C4}" name="WorksheetConnection_VBA-Challenge.xlsm!CustomerData" type="102" refreshedVersion="8" minRefreshableVersion="5" saveData="1">
    <extLst>
      <ext xmlns:x15="http://schemas.microsoft.com/office/spreadsheetml/2010/11/main" uri="{DE250136-89BD-433C-8126-D09CA5730AF9}">
        <x15:connection id="Table2" autoDelete="1">
          <x15:rangePr sourceName="_xlcn.WorksheetConnection_VBAChallenge.xlsmCustomerData1"/>
        </x15:connection>
      </ext>
    </extLst>
  </connection>
  <connection id="3" xr16:uid="{A7DF9FB8-3F7B-4BCC-9EEA-BFED0907BF9B}" name="WorksheetConnection_VBA-Challenge.xlsm!ProductData" type="102" refreshedVersion="8" minRefreshableVersion="5" saveData="1">
    <extLst>
      <ext xmlns:x15="http://schemas.microsoft.com/office/spreadsheetml/2010/11/main" uri="{DE250136-89BD-433C-8126-D09CA5730AF9}">
        <x15:connection id="Table2_1">
          <x15:rangePr sourceName="_xlcn.WorksheetConnection_VBAChallenge.xlsmProductData1"/>
        </x15:connection>
      </ext>
    </extLst>
  </connection>
  <connection id="4" xr16:uid="{F0905EFE-9549-4051-A3EF-9E0FA19A05AF}" name="WorksheetConnection_VBA-Challenge.xlsm!SalesData" type="102" refreshedVersion="8" minRefreshableVersion="5" background="1" saveData="1">
    <extLst>
      <ext xmlns:x15="http://schemas.microsoft.com/office/spreadsheetml/2010/11/main" uri="{DE250136-89BD-433C-8126-D09CA5730AF9}">
        <x15:connection id="Table2_2">
          <x15:rangePr sourceName="_xlcn.WorksheetConnection_VBAChallenge.xlsmSalesData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SalesData].[Year-Quarter].[All]}"/>
  </metadataStrings>
  <mdxMetadata count="1">
    <mdx n="0" f="s">
      <ms ns="1" c="0"/>
    </mdx>
  </mdxMetadata>
  <valueMetadata count="1">
    <bk>
      <rc t="1" v="0"/>
    </bk>
  </valueMetadata>
</metadata>
</file>

<file path=xl/sharedStrings.xml><?xml version="1.0" encoding="utf-8"?>
<sst xmlns="http://schemas.openxmlformats.org/spreadsheetml/2006/main" count="75" uniqueCount="51">
  <si>
    <t>East</t>
  </si>
  <si>
    <t>North</t>
  </si>
  <si>
    <t>South</t>
  </si>
  <si>
    <t>West</t>
  </si>
  <si>
    <t>Sports</t>
  </si>
  <si>
    <t>Books</t>
  </si>
  <si>
    <t>Home</t>
  </si>
  <si>
    <t>Electronics</t>
  </si>
  <si>
    <t>Clothing</t>
  </si>
  <si>
    <t>Revenue</t>
  </si>
  <si>
    <t>Update an existing table</t>
  </si>
  <si>
    <t>Add new data</t>
  </si>
  <si>
    <t>Update Customer Data</t>
  </si>
  <si>
    <t>Update Product Data</t>
  </si>
  <si>
    <t>Update Sales Data</t>
  </si>
  <si>
    <t>*Supported filetype: .csv, .xlsx</t>
  </si>
  <si>
    <t>Note:</t>
  </si>
  <si>
    <t>Import or Update Data</t>
  </si>
  <si>
    <t>Row Labels</t>
  </si>
  <si>
    <t>Grand Total</t>
  </si>
  <si>
    <t>Saat pertama kali upload data, urutan sheet CustomerData, Product, Sales</t>
  </si>
  <si>
    <t>Sum of Revenue</t>
  </si>
  <si>
    <r>
      <t xml:space="preserve">** If there's an error on the numeric data in your .csv, try to change to .xlsx </t>
    </r>
    <r>
      <rPr>
        <u/>
        <sz val="11"/>
        <color theme="4"/>
        <rFont val="Bahnschrift"/>
        <family val="2"/>
      </rPr>
      <t>here</t>
    </r>
  </si>
  <si>
    <t>Sum of QuantitySold</t>
  </si>
  <si>
    <t>Distinct Count of CustomerID</t>
  </si>
  <si>
    <t>Column Labels</t>
  </si>
  <si>
    <t>Quantity Sold</t>
  </si>
  <si>
    <t>All</t>
  </si>
  <si>
    <t>2024</t>
  </si>
  <si>
    <t>2024 Total</t>
  </si>
  <si>
    <t>Count of ProductID</t>
  </si>
  <si>
    <t>Distinct Count of ProductID</t>
  </si>
  <si>
    <t>Count of CustomerID</t>
  </si>
  <si>
    <t>△ Quantity Sold</t>
  </si>
  <si>
    <t>△ Revenue</t>
  </si>
  <si>
    <t>Year-Quarter</t>
  </si>
  <si>
    <t>2024-Q1</t>
  </si>
  <si>
    <t>2024-Q2</t>
  </si>
  <si>
    <t>2024-Q3</t>
  </si>
  <si>
    <t>2024-Q4</t>
  </si>
  <si>
    <t>Q1</t>
  </si>
  <si>
    <t>Q2</t>
  </si>
  <si>
    <t>Q3</t>
  </si>
  <si>
    <t>Q4</t>
  </si>
  <si>
    <t>Latest Revenue Change</t>
  </si>
  <si>
    <t>Latest Quantity Change</t>
  </si>
  <si>
    <t>Interactive Sales Dashboard</t>
  </si>
  <si>
    <t>Young</t>
  </si>
  <si>
    <t>Young Adult</t>
  </si>
  <si>
    <t>Adult</t>
  </si>
  <si>
    <t>Senior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</si>
</sst>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5" formatCode="_-[$$-409]* #,##0.00_ ;_-[$$-409]* \-#,##0.00\ ;_-[$$-409]* &quot;-&quot;??_ ;_-@_ "/>
    <numFmt numFmtId="166" formatCode="0.0%"/>
    <numFmt numFmtId="167" formatCode="[Color10]0.0%\ \▲;[Red]\-0.0%\ \▼"/>
    <numFmt numFmtId="168" formatCode="0_ ;\-0\ "/>
    <numFmt numFmtId="169" formatCode="#,##0_ ;\-#,##0\ "/>
  </numFmts>
  <fonts count="15" x14ac:knownFonts="1">
    <font>
      <sz val="11"/>
      <color theme="1"/>
      <name val="Calibri"/>
      <family val="2"/>
      <charset val="1"/>
      <scheme val="minor"/>
    </font>
    <font>
      <b/>
      <sz val="20"/>
      <color theme="0"/>
      <name val="Bahnschrift"/>
      <family val="2"/>
    </font>
    <font>
      <sz val="11"/>
      <color theme="1"/>
      <name val="Bahnschrift"/>
      <family val="2"/>
    </font>
    <font>
      <b/>
      <sz val="11"/>
      <color theme="1"/>
      <name val="Bahnschrift"/>
      <family val="2"/>
    </font>
    <font>
      <b/>
      <u/>
      <sz val="14"/>
      <color theme="1"/>
      <name val="Bahnschrift"/>
      <family val="2"/>
    </font>
    <font>
      <u/>
      <sz val="14"/>
      <color theme="1"/>
      <name val="Bahnschrift"/>
      <family val="2"/>
    </font>
    <font>
      <b/>
      <u/>
      <sz val="11"/>
      <color theme="1"/>
      <name val="Bahnschrift"/>
      <family val="2"/>
    </font>
    <font>
      <u/>
      <sz val="11"/>
      <color theme="4"/>
      <name val="Bahnschrift"/>
      <family val="2"/>
    </font>
    <font>
      <b/>
      <sz val="22"/>
      <name val="Bahnschrift"/>
      <family val="2"/>
    </font>
    <font>
      <sz val="11"/>
      <color theme="4"/>
      <name val="Bahnschrift"/>
      <family val="2"/>
    </font>
    <font>
      <sz val="11"/>
      <color rgb="FF000000"/>
      <name val="Calibri"/>
      <family val="2"/>
    </font>
    <font>
      <sz val="26"/>
      <color theme="1"/>
      <name val="Bahnschrift"/>
      <family val="2"/>
    </font>
    <font>
      <sz val="11"/>
      <color theme="1"/>
      <name val="Calibri"/>
      <family val="2"/>
      <charset val="1"/>
      <scheme val="minor"/>
    </font>
    <font>
      <sz val="11"/>
      <color theme="0"/>
      <name val="Calibri"/>
      <family val="2"/>
      <charset val="1"/>
      <scheme val="minor"/>
    </font>
    <font>
      <sz val="22"/>
      <color theme="1"/>
      <name val="Calibri"/>
      <family val="2"/>
      <charset val="1"/>
      <scheme val="minor"/>
    </font>
  </fonts>
  <fills count="9">
    <fill>
      <patternFill patternType="none"/>
    </fill>
    <fill>
      <patternFill patternType="gray125"/>
    </fill>
    <fill>
      <patternFill patternType="solid">
        <fgColor theme="0"/>
        <bgColor indexed="64"/>
      </patternFill>
    </fill>
    <fill>
      <patternFill patternType="solid">
        <fgColor rgb="FF32A8B4"/>
        <bgColor indexed="64"/>
      </patternFill>
    </fill>
    <fill>
      <patternFill patternType="solid">
        <fgColor theme="0" tint="-4.9989318521683403E-2"/>
        <bgColor indexed="64"/>
      </patternFill>
    </fill>
    <fill>
      <patternFill patternType="solid">
        <fgColor rgb="FFDF726E"/>
        <bgColor indexed="64"/>
      </patternFill>
    </fill>
    <fill>
      <patternFill patternType="solid">
        <fgColor rgb="FFF5974D"/>
        <bgColor indexed="64"/>
      </patternFill>
    </fill>
    <fill>
      <patternFill patternType="solid">
        <fgColor rgb="FF9E5976"/>
        <bgColor indexed="64"/>
      </patternFill>
    </fill>
    <fill>
      <patternFill patternType="solid">
        <fgColor theme="4" tint="-0.249977111117893"/>
        <bgColor theme="4" tint="-0.249977111117893"/>
      </patternFill>
    </fill>
  </fills>
  <borders count="8">
    <border>
      <left/>
      <right/>
      <top/>
      <bottom/>
      <diagonal/>
    </border>
    <border>
      <left/>
      <right/>
      <top/>
      <bottom style="thin">
        <color theme="0"/>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style="thin">
        <color theme="0"/>
      </right>
      <top/>
      <bottom style="thin">
        <color theme="0"/>
      </bottom>
      <diagonal/>
    </border>
    <border>
      <left/>
      <right/>
      <top/>
      <bottom style="thin">
        <color theme="4" tint="0.59999389629810485"/>
      </bottom>
      <diagonal/>
    </border>
    <border>
      <left/>
      <right/>
      <top style="thin">
        <color theme="4" tint="0.59999389629810485"/>
      </top>
      <bottom/>
      <diagonal/>
    </border>
  </borders>
  <cellStyleXfs count="2">
    <xf numFmtId="0" fontId="0" fillId="0" borderId="0"/>
    <xf numFmtId="9" fontId="12" fillId="0" borderId="0" applyFont="0" applyFill="0" applyBorder="0" applyAlignment="0" applyProtection="0"/>
  </cellStyleXfs>
  <cellXfs count="43">
    <xf numFmtId="0" fontId="0" fillId="0" borderId="0" xfId="0"/>
    <xf numFmtId="0" fontId="0" fillId="0" borderId="0" xfId="0" pivotButton="1"/>
    <xf numFmtId="0" fontId="0" fillId="0" borderId="0" xfId="0" applyAlignment="1">
      <alignment horizontal="left"/>
    </xf>
    <xf numFmtId="0" fontId="2" fillId="2" borderId="0" xfId="0" applyFont="1" applyFill="1"/>
    <xf numFmtId="0" fontId="3" fillId="2" borderId="0" xfId="0" applyFont="1" applyFill="1" applyAlignment="1">
      <alignment vertical="center"/>
    </xf>
    <xf numFmtId="0" fontId="5" fillId="2" borderId="0" xfId="0" applyFont="1" applyFill="1"/>
    <xf numFmtId="0" fontId="2" fillId="4" borderId="0" xfId="0" applyFont="1" applyFill="1"/>
    <xf numFmtId="0" fontId="4" fillId="4" borderId="0" xfId="0" applyFont="1" applyFill="1"/>
    <xf numFmtId="0" fontId="2" fillId="4" borderId="2" xfId="0" applyFont="1" applyFill="1" applyBorder="1"/>
    <xf numFmtId="0" fontId="2" fillId="4" borderId="3" xfId="0" applyFont="1" applyFill="1" applyBorder="1"/>
    <xf numFmtId="0" fontId="2" fillId="4" borderId="4" xfId="0" applyFont="1" applyFill="1" applyBorder="1"/>
    <xf numFmtId="0" fontId="2" fillId="4" borderId="1" xfId="0" applyFont="1" applyFill="1" applyBorder="1"/>
    <xf numFmtId="0" fontId="2" fillId="4" borderId="5" xfId="0" applyFont="1" applyFill="1" applyBorder="1"/>
    <xf numFmtId="0" fontId="1" fillId="3" borderId="2" xfId="0" applyFont="1" applyFill="1" applyBorder="1" applyAlignment="1">
      <alignment vertical="center"/>
    </xf>
    <xf numFmtId="0" fontId="1" fillId="3" borderId="0" xfId="0" applyFont="1" applyFill="1" applyAlignment="1">
      <alignment vertical="center"/>
    </xf>
    <xf numFmtId="0" fontId="1" fillId="5" borderId="0" xfId="0" applyFont="1" applyFill="1" applyAlignment="1">
      <alignment vertical="center"/>
    </xf>
    <xf numFmtId="0" fontId="1" fillId="6" borderId="0" xfId="0" applyFont="1" applyFill="1" applyAlignment="1">
      <alignment vertical="center"/>
    </xf>
    <xf numFmtId="0" fontId="1" fillId="7" borderId="0" xfId="0" applyFont="1" applyFill="1" applyAlignment="1">
      <alignment vertical="center"/>
    </xf>
    <xf numFmtId="0" fontId="1" fillId="5" borderId="3" xfId="0" applyFont="1" applyFill="1" applyBorder="1" applyAlignment="1">
      <alignment vertical="center"/>
    </xf>
    <xf numFmtId="0" fontId="9" fillId="4" borderId="0" xfId="0" applyFont="1" applyFill="1"/>
    <xf numFmtId="165" fontId="0" fillId="0" borderId="0" xfId="0" applyNumberFormat="1"/>
    <xf numFmtId="0" fontId="0" fillId="0" borderId="0" xfId="0" applyAlignment="1">
      <alignment horizontal="left" indent="1"/>
    </xf>
    <xf numFmtId="1" fontId="0" fillId="0" borderId="0" xfId="0" applyNumberFormat="1"/>
    <xf numFmtId="0" fontId="13" fillId="8" borderId="6" xfId="0" applyFont="1" applyFill="1" applyBorder="1"/>
    <xf numFmtId="9" fontId="0" fillId="0" borderId="0" xfId="1" applyFont="1"/>
    <xf numFmtId="166" fontId="0" fillId="0" borderId="0" xfId="1" applyNumberFormat="1" applyFont="1"/>
    <xf numFmtId="9" fontId="2" fillId="2" borderId="0" xfId="1" applyFont="1" applyFill="1"/>
    <xf numFmtId="167" fontId="0" fillId="0" borderId="0" xfId="0" applyNumberFormat="1"/>
    <xf numFmtId="0" fontId="13" fillId="0" borderId="0" xfId="0" applyFont="1" applyAlignment="1">
      <alignment horizontal="right"/>
    </xf>
    <xf numFmtId="167" fontId="13" fillId="0" borderId="0" xfId="0" applyNumberFormat="1" applyFont="1"/>
    <xf numFmtId="166" fontId="0" fillId="0" borderId="0" xfId="1" applyNumberFormat="1" applyFont="1" applyFill="1" applyBorder="1"/>
    <xf numFmtId="0" fontId="11" fillId="2" borderId="0" xfId="0" applyFont="1" applyFill="1"/>
    <xf numFmtId="168" fontId="0" fillId="0" borderId="0" xfId="0" applyNumberFormat="1"/>
    <xf numFmtId="169" fontId="0" fillId="0" borderId="0" xfId="0" applyNumberFormat="1"/>
    <xf numFmtId="0" fontId="11" fillId="2" borderId="0" xfId="0" applyFont="1" applyFill="1" applyAlignment="1">
      <alignment horizontal="center"/>
    </xf>
    <xf numFmtId="167" fontId="14" fillId="0" borderId="7" xfId="0" applyNumberFormat="1" applyFont="1" applyBorder="1" applyAlignment="1">
      <alignment horizontal="center" vertical="center"/>
    </xf>
    <xf numFmtId="167" fontId="14" fillId="0" borderId="0" xfId="0" applyNumberFormat="1" applyFont="1" applyAlignment="1">
      <alignment horizontal="center" vertical="center"/>
    </xf>
    <xf numFmtId="0" fontId="8" fillId="4" borderId="0" xfId="0" applyFont="1" applyFill="1" applyAlignment="1">
      <alignment horizontal="center" vertical="center"/>
    </xf>
    <xf numFmtId="0" fontId="6" fillId="4" borderId="0" xfId="0" applyFont="1" applyFill="1" applyAlignment="1">
      <alignment horizontal="center"/>
    </xf>
    <xf numFmtId="0" fontId="4" fillId="4" borderId="2" xfId="0" applyFont="1" applyFill="1" applyBorder="1" applyAlignment="1">
      <alignment horizontal="center" vertical="center"/>
    </xf>
    <xf numFmtId="0" fontId="4" fillId="4" borderId="0" xfId="0" applyFont="1" applyFill="1" applyAlignment="1">
      <alignment horizontal="center" vertical="center"/>
    </xf>
    <xf numFmtId="0" fontId="4" fillId="4" borderId="3" xfId="0" applyFont="1" applyFill="1" applyBorder="1" applyAlignment="1">
      <alignment horizontal="center" vertical="center"/>
    </xf>
    <xf numFmtId="0" fontId="0" fillId="0" borderId="0" xfId="0" applyNumberFormat="1"/>
  </cellXfs>
  <cellStyles count="2">
    <cellStyle name="Normal" xfId="0" builtinId="0"/>
    <cellStyle name="Percent" xfId="1" builtinId="5"/>
  </cellStyles>
  <dxfs count="28">
    <dxf>
      <numFmt numFmtId="169" formatCode="#,##0_ ;\-#,##0\ "/>
    </dxf>
    <dxf>
      <numFmt numFmtId="165" formatCode="_-[$$-409]* #,##0.00_ ;_-[$$-409]* \-#,##0.00\ ;_-[$$-409]* &quot;-&quot;??_ ;_-@_ "/>
    </dxf>
    <dxf>
      <numFmt numFmtId="167" formatCode="[Color10]0.0%\ \▲;[Red]\-0.0%\ \▼"/>
    </dxf>
    <dxf>
      <numFmt numFmtId="167" formatCode="[Color10]0.0%\ \▲;[Red]\-0.0%\ \▼"/>
    </dxf>
    <dxf>
      <numFmt numFmtId="167" formatCode="[Color10]0.0%\ \▲;[Red]\-0.0%\ \▼"/>
    </dxf>
    <dxf>
      <numFmt numFmtId="170" formatCode="[Color10]0.0%\ \▲;[Red]0.0%\ \▼"/>
    </dxf>
    <dxf>
      <numFmt numFmtId="170" formatCode="[Color10]0.0%\ \▲;[Red]0.0%\ \▼"/>
    </dxf>
    <dxf>
      <numFmt numFmtId="171" formatCode="[Color10]0.00%\ \▲;[Red]0.00%\ \▼"/>
    </dxf>
    <dxf>
      <numFmt numFmtId="165" formatCode="_-[$$-409]* #,##0.00_ ;_-[$$-409]* \-#,##0.00\ ;_-[$$-409]* &quot;-&quot;??_ ;_-@_ "/>
    </dxf>
    <dxf>
      <numFmt numFmtId="1" formatCode="0"/>
    </dxf>
    <dxf>
      <numFmt numFmtId="165" formatCode="_-[$$-409]* #,##0.00_ ;_-[$$-409]* \-#,##0.00\ ;_-[$$-409]* &quot;-&quot;??_ ;_-@_ "/>
    </dxf>
    <dxf>
      <numFmt numFmtId="1" formatCode="0"/>
    </dxf>
    <dxf>
      <numFmt numFmtId="168" formatCode="0_ ;\-0\ "/>
    </dxf>
    <dxf>
      <numFmt numFmtId="1" formatCode="0"/>
    </dxf>
    <dxf>
      <numFmt numFmtId="165" formatCode="_-[$$-409]* #,##0.00_ ;_-[$$-409]* \-#,##0.00\ ;_-[$$-409]* &quot;-&quot;??_ ;_-@_ "/>
    </dxf>
    <dxf>
      <numFmt numFmtId="1" formatCode="0"/>
    </dxf>
    <dxf>
      <numFmt numFmtId="1" formatCode="0"/>
    </dxf>
    <dxf>
      <font>
        <b val="0"/>
        <i val="0"/>
        <sz val="10"/>
        <color theme="0"/>
        <name val="Bahnschrift"/>
        <family val="2"/>
        <scheme val="none"/>
      </font>
      <fill>
        <patternFill>
          <bgColor rgb="FFF5974D"/>
        </patternFill>
      </fill>
      <border diagonalUp="0" diagonalDown="0">
        <left/>
        <right/>
        <top/>
        <bottom/>
        <vertical/>
        <horizontal/>
      </border>
    </dxf>
    <dxf>
      <font>
        <b val="0"/>
        <i val="0"/>
        <sz val="10"/>
        <name val="Bahnschrift"/>
        <family val="2"/>
        <scheme val="none"/>
      </font>
      <fill>
        <patternFill patternType="solid">
          <fgColor theme="0"/>
          <bgColor theme="0" tint="-4.9989318521683403E-2"/>
        </patternFill>
      </fill>
      <border diagonalUp="0" diagonalDown="0">
        <left/>
        <right/>
        <top/>
        <bottom/>
        <vertical/>
        <horizontal/>
      </border>
    </dxf>
    <dxf>
      <font>
        <sz val="11"/>
        <color theme="1"/>
        <name val="Bahnschrift"/>
        <family val="2"/>
        <scheme val="none"/>
      </font>
    </dxf>
    <dxf>
      <fill>
        <patternFill patternType="none">
          <fgColor indexed="64"/>
          <bgColor auto="1"/>
        </patternFill>
      </fill>
      <border>
        <left style="thin">
          <color theme="1" tint="-0.499984740745262"/>
        </left>
        <right style="thin">
          <color theme="1" tint="-0.499984740745262"/>
        </right>
        <top style="thin">
          <color theme="1" tint="-0.499984740745262"/>
        </top>
        <bottom style="thin">
          <color theme="1" tint="-0.499984740745262"/>
        </bottom>
      </border>
    </dxf>
    <dxf>
      <font>
        <b val="0"/>
        <i val="0"/>
        <sz val="10"/>
        <color theme="0"/>
        <name val="Bahnschrift"/>
        <family val="2"/>
        <scheme val="none"/>
      </font>
      <fill>
        <patternFill>
          <bgColor theme="4"/>
        </patternFill>
      </fill>
    </dxf>
    <dxf>
      <font>
        <b val="0"/>
        <i val="0"/>
        <sz val="10"/>
        <color theme="0"/>
        <name val="Bahnschrift"/>
        <family val="2"/>
        <scheme val="none"/>
      </font>
      <fill>
        <patternFill>
          <bgColor theme="0" tint="-4.9989318521683403E-2"/>
        </patternFill>
      </fill>
    </dxf>
    <dxf>
      <font>
        <b val="0"/>
        <i val="0"/>
        <sz val="10"/>
        <color theme="0"/>
        <name val="Bahnschrift"/>
        <family val="2"/>
        <scheme val="none"/>
      </font>
      <fill>
        <patternFill>
          <bgColor theme="6"/>
        </patternFill>
      </fill>
    </dxf>
    <dxf>
      <font>
        <b val="0"/>
        <i val="0"/>
        <sz val="10"/>
        <color theme="0"/>
        <name val="Bahnschrift"/>
        <family val="2"/>
        <scheme val="none"/>
      </font>
      <fill>
        <patternFill>
          <bgColor theme="0" tint="-4.9989318521683403E-2"/>
        </patternFill>
      </fill>
    </dxf>
    <dxf>
      <font>
        <b val="0"/>
        <i val="0"/>
        <sz val="10"/>
        <color theme="0"/>
        <name val="Bahnschrift"/>
        <family val="2"/>
        <scheme val="none"/>
      </font>
      <fill>
        <patternFill>
          <bgColor rgb="FF9E5976"/>
        </patternFill>
      </fill>
    </dxf>
    <dxf>
      <font>
        <b val="0"/>
        <i val="0"/>
        <sz val="10"/>
        <color theme="0"/>
        <name val="Bahnschrift"/>
        <family val="2"/>
        <scheme val="none"/>
      </font>
      <fill>
        <patternFill>
          <bgColor theme="0" tint="-4.9989318521683403E-2"/>
        </patternFill>
      </fill>
    </dxf>
    <dxf>
      <fill>
        <patternFill>
          <fgColor rgb="FF32A8B4"/>
        </patternFill>
      </fill>
    </dxf>
  </dxfs>
  <tableStyles count="6" defaultTableStyle="TableStyleMedium2" defaultPivotStyle="PivotStyleLight16">
    <tableStyle name="Slicer Style 1" pivot="0" table="0" count="1" xr9:uid="{B67CFC8E-1BE0-4F0F-9C4D-85D41E61AC00}">
      <tableStyleElement type="wholeTable" dxfId="27"/>
    </tableStyle>
    <tableStyle name="Slicer Style 2" pivot="0" table="0" count="4" xr9:uid="{FBAD53E6-CCCA-48AA-9A97-D6AE0689329E}">
      <tableStyleElement type="wholeTable" dxfId="26"/>
      <tableStyleElement type="headerRow" dxfId="25"/>
    </tableStyle>
    <tableStyle name="Slicer Style 2 2" pivot="0" table="0" count="4" xr9:uid="{F4B6AB84-1EC2-4353-A5D7-1CFF16F3C513}">
      <tableStyleElement type="wholeTable" dxfId="24"/>
      <tableStyleElement type="headerRow" dxfId="23"/>
    </tableStyle>
    <tableStyle name="Slicer Style 2 2 2" pivot="0" table="0" count="4" xr9:uid="{FE46960C-5878-4B1B-9882-2A3CD9BBB70E}">
      <tableStyleElement type="wholeTable" dxfId="22"/>
      <tableStyleElement type="headerRow" dxfId="21"/>
    </tableStyle>
    <tableStyle name="Timeline Style 1" pivot="0" table="0" count="8" xr9:uid="{30AAD2A3-039B-4E97-95F9-65FFF89666F3}">
      <tableStyleElement type="wholeTable" dxfId="20"/>
      <tableStyleElement type="headerRow" dxfId="19"/>
    </tableStyle>
    <tableStyle name="Timeline Style 2" pivot="0" table="0" count="8" xr9:uid="{3573597F-2FF0-4EB1-91D6-4676DB296766}">
      <tableStyleElement type="wholeTable" dxfId="18"/>
      <tableStyleElement type="headerRow" dxfId="17"/>
    </tableStyle>
  </tableStyles>
  <colors>
    <mruColors>
      <color rgb="FFF5974D"/>
      <color rgb="FFD2AEBD"/>
      <color rgb="FF9E5976"/>
      <color rgb="FF32A8B4"/>
      <color rgb="FF7ED2DB"/>
      <color rgb="FFF9BC8F"/>
      <color rgb="FFEFB8B7"/>
      <color rgb="FFDF726E"/>
    </mruColors>
  </colors>
  <extLst>
    <ext xmlns:x14="http://schemas.microsoft.com/office/spreadsheetml/2009/9/main" uri="{46F421CA-312F-682f-3DD2-61675219B42D}">
      <x14:dxfs count="6">
        <dxf>
          <font>
            <b val="0"/>
            <i val="0"/>
            <sz val="9"/>
            <color theme="1"/>
            <name val="Bahnschrift"/>
            <family val="2"/>
            <scheme val="none"/>
          </font>
          <fill>
            <patternFill>
              <bgColor theme="5"/>
            </patternFill>
          </fill>
        </dxf>
        <dxf>
          <font>
            <sz val="9"/>
            <color theme="1"/>
          </font>
          <fill>
            <patternFill>
              <bgColor theme="0" tint="-4.9989318521683403E-2"/>
            </patternFill>
          </fill>
        </dxf>
        <dxf>
          <font>
            <b val="0"/>
            <i val="0"/>
            <sz val="9"/>
            <color theme="1"/>
            <name val="Bahnschrift"/>
            <family val="2"/>
            <scheme val="none"/>
          </font>
          <fill>
            <patternFill>
              <bgColor theme="7"/>
            </patternFill>
          </fill>
        </dxf>
        <dxf>
          <font>
            <sz val="9"/>
            <color theme="1"/>
          </font>
          <fill>
            <patternFill>
              <bgColor theme="0" tint="-4.9989318521683403E-2"/>
            </patternFill>
          </fill>
        </dxf>
        <dxf>
          <font>
            <b val="0"/>
            <i val="0"/>
            <sz val="9"/>
            <color theme="1"/>
            <name val="Bahnschrift"/>
            <family val="2"/>
            <scheme val="none"/>
          </font>
          <fill>
            <patternFill>
              <bgColor rgb="FFD2AEBD"/>
            </patternFill>
          </fill>
        </dxf>
        <dxf>
          <font>
            <sz val="9"/>
            <color theme="1"/>
          </font>
          <fill>
            <patternFill>
              <bgColor theme="0" tint="-4.9989318521683403E-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5"/>
            <x14:slicerStyleElement type="selectedItemWithData" dxfId="4"/>
          </x14:slicerStyleElements>
        </x14:slicerStyle>
        <x14:slicerStyle name="Slicer Style 2 2">
          <x14:slicerStyleElements>
            <x14:slicerStyleElement type="unselectedItemWithData" dxfId="3"/>
            <x14:slicerStyleElement type="selectedItemWithData" dxfId="2"/>
          </x14:slicerStyleElements>
        </x14:slicerStyle>
        <x14:slicerStyle name="Slicer Style 2 2 2">
          <x14:slicerStyleElements>
            <x14:slicerStyleElement type="unselectedItemWithData" dxfId="1"/>
            <x14:slicerStyleElement type="selectedItemWithData" dxfId="0"/>
          </x14:slicerStyleElements>
        </x14:slicerStyle>
      </x14:slicerStyles>
    </ext>
    <ext xmlns:x15="http://schemas.microsoft.com/office/spreadsheetml/2010/11/main" uri="{A0A4C193-F2C1-4fcb-8827-314CF55A85BB}">
      <x15:dxfs count="12">
        <dxf>
          <fill>
            <patternFill patternType="solid">
              <fgColor theme="0" tint="-0.14999847407452621"/>
              <bgColor theme="0" tint="-0.14999847407452621"/>
            </patternFill>
          </fill>
        </dxf>
        <dxf>
          <fill>
            <patternFill patternType="solid">
              <fgColor theme="0"/>
              <bgColor rgb="FFF9BC8F"/>
            </patternFill>
          </fill>
          <border diagonalUp="0" diagonalDown="0">
            <left/>
            <right/>
            <top/>
            <bottom/>
            <vertical/>
            <horizontal/>
          </border>
        </dxf>
        <dxf>
          <font>
            <b val="0"/>
            <i val="0"/>
            <sz val="7.5"/>
            <color theme="1" tint="0.499984740745262"/>
            <name val="Bahnschrift"/>
            <family val="2"/>
            <scheme val="none"/>
          </font>
        </dxf>
        <dxf>
          <font>
            <b val="0"/>
            <i val="0"/>
            <sz val="8"/>
            <color theme="1" tint="0.499984740745262"/>
            <name val="Bahnschrift"/>
            <family val="2"/>
            <scheme val="none"/>
          </font>
        </dxf>
        <dxf>
          <font>
            <sz val="9"/>
            <color theme="1" tint="0.499984740745262"/>
          </font>
        </dxf>
        <dxf>
          <font>
            <b val="0"/>
            <i val="0"/>
            <sz val="8.5"/>
            <color theme="1" tint="0.499984740745262"/>
            <name val="Bahnschrift"/>
            <family val="2"/>
            <scheme val="none"/>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Timeline Style 2">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openxmlformats.org/officeDocument/2006/relationships/sheetMetadata" Target="metadata.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pivotCacheDefinition" Target="pivotCache/pivotCacheDefinition4.xml"/><Relationship Id="rId12" Type="http://schemas.microsoft.com/office/2007/relationships/slicerCache" Target="slicerCaches/slicerCache2.xml"/><Relationship Id="rId17" Type="http://schemas.openxmlformats.org/officeDocument/2006/relationships/sharedStrings" Target="sharedString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29"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1.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microsoft.com/office/2006/relationships/vbaProject" Target="vbaProject.bin"/><Relationship Id="rId5" Type="http://schemas.openxmlformats.org/officeDocument/2006/relationships/pivotCacheDefinition" Target="pivotCache/pivotCacheDefinition2.xml"/><Relationship Id="rId15" Type="http://schemas.openxmlformats.org/officeDocument/2006/relationships/connections" Target="connections.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7.xml"/><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pivotCacheDefinition" Target="pivotCache/pivotCacheDefinition5.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[VBA-Challenge-Mainfile-Backup.xlsm]PivotTable!PivotForLineChartRevQ</c:name>
    <c:fmtId val="2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7ED2DB"/>
            </a:solidFill>
            <a:round/>
          </a:ln>
          <a:effectLst/>
        </c:spPr>
        <c:marker>
          <c:symbol val="circle"/>
          <c:size val="3"/>
          <c:spPr>
            <a:solidFill>
              <a:srgbClr val="32A8B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D2AEBD"/>
            </a:solidFill>
            <a:round/>
          </a:ln>
          <a:effectLst/>
        </c:spPr>
        <c:marker>
          <c:symbol val="circle"/>
          <c:size val="3"/>
          <c:spPr>
            <a:solidFill>
              <a:srgbClr val="9E5976"/>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PivotTable!$B$10</c:f>
              <c:strCache>
                <c:ptCount val="1"/>
                <c:pt idx="0">
                  <c:v>Revenue</c:v>
                </c:pt>
              </c:strCache>
            </c:strRef>
          </c:tx>
          <c:spPr>
            <a:ln w="28575" cap="rnd">
              <a:solidFill>
                <a:srgbClr val="7ED2DB"/>
              </a:solidFill>
              <a:round/>
            </a:ln>
            <a:effectLst/>
          </c:spPr>
          <c:marker>
            <c:symbol val="circle"/>
            <c:size val="3"/>
            <c:spPr>
              <a:solidFill>
                <a:srgbClr val="32A8B4"/>
              </a:solidFill>
              <a:ln w="9525">
                <a:noFill/>
              </a:ln>
              <a:effectLst/>
            </c:spPr>
          </c:marker>
          <c:cat>
            <c:multiLvlStrRef>
              <c:f>PivotTable!$A$11:$A$17</c:f>
              <c:multiLvlStrCache>
                <c:ptCount val="4"/>
                <c:lvl>
                  <c:pt idx="0">
                    <c:v>Q1</c:v>
                  </c:pt>
                  <c:pt idx="1">
                    <c:v>Q2</c:v>
                  </c:pt>
                  <c:pt idx="2">
                    <c:v>Q3</c:v>
                  </c:pt>
                  <c:pt idx="3">
                    <c:v>Q4</c:v>
                  </c:pt>
                </c:lvl>
                <c:lvl>
                  <c:pt idx="0">
                    <c:v>2024</c:v>
                  </c:pt>
                </c:lvl>
              </c:multiLvlStrCache>
            </c:multiLvlStrRef>
          </c:cat>
          <c:val>
            <c:numRef>
              <c:f>PivotTable!$B$11:$B$17</c:f>
              <c:numCache>
                <c:formatCode>General</c:formatCode>
                <c:ptCount val="4"/>
                <c:pt idx="0">
                  <c:v>11899.77</c:v>
                </c:pt>
                <c:pt idx="1">
                  <c:v>13753.39</c:v>
                </c:pt>
                <c:pt idx="2">
                  <c:v>11302.76</c:v>
                </c:pt>
                <c:pt idx="3">
                  <c:v>4250</c:v>
                </c:pt>
              </c:numCache>
            </c:numRef>
          </c:val>
          <c:smooth val="1"/>
          <c:extLst>
            <c:ext xmlns:c16="http://schemas.microsoft.com/office/drawing/2014/chart" uri="{C3380CC4-5D6E-409C-BE32-E72D297353CC}">
              <c16:uniqueId val="{0000000B-5EE1-4015-9C6C-10AFDD8BDCF5}"/>
            </c:ext>
          </c:extLst>
        </c:ser>
        <c:dLbls>
          <c:showLegendKey val="0"/>
          <c:showVal val="0"/>
          <c:showCatName val="0"/>
          <c:showSerName val="0"/>
          <c:showPercent val="0"/>
          <c:showBubbleSize val="0"/>
        </c:dLbls>
        <c:marker val="1"/>
        <c:smooth val="0"/>
        <c:axId val="839508415"/>
        <c:axId val="839506975"/>
      </c:lineChart>
      <c:lineChart>
        <c:grouping val="standard"/>
        <c:varyColors val="0"/>
        <c:ser>
          <c:idx val="1"/>
          <c:order val="1"/>
          <c:tx>
            <c:strRef>
              <c:f>PivotTable!$C$10</c:f>
              <c:strCache>
                <c:ptCount val="1"/>
                <c:pt idx="0">
                  <c:v>Quantity Sold</c:v>
                </c:pt>
              </c:strCache>
            </c:strRef>
          </c:tx>
          <c:spPr>
            <a:ln w="28575" cap="rnd">
              <a:solidFill>
                <a:srgbClr val="D2AEBD"/>
              </a:solidFill>
              <a:round/>
            </a:ln>
            <a:effectLst/>
          </c:spPr>
          <c:marker>
            <c:symbol val="circle"/>
            <c:size val="3"/>
            <c:spPr>
              <a:solidFill>
                <a:srgbClr val="9E5976"/>
              </a:solidFill>
              <a:ln w="9525">
                <a:noFill/>
              </a:ln>
              <a:effectLst/>
            </c:spPr>
          </c:marker>
          <c:cat>
            <c:multiLvlStrRef>
              <c:f>PivotTable!$A$11:$A$17</c:f>
              <c:multiLvlStrCache>
                <c:ptCount val="4"/>
                <c:lvl>
                  <c:pt idx="0">
                    <c:v>Q1</c:v>
                  </c:pt>
                  <c:pt idx="1">
                    <c:v>Q2</c:v>
                  </c:pt>
                  <c:pt idx="2">
                    <c:v>Q3</c:v>
                  </c:pt>
                  <c:pt idx="3">
                    <c:v>Q4</c:v>
                  </c:pt>
                </c:lvl>
                <c:lvl>
                  <c:pt idx="0">
                    <c:v>2024</c:v>
                  </c:pt>
                </c:lvl>
              </c:multiLvlStrCache>
            </c:multiLvlStrRef>
          </c:cat>
          <c:val>
            <c:numRef>
              <c:f>PivotTable!$C$11:$C$17</c:f>
              <c:numCache>
                <c:formatCode>0</c:formatCode>
                <c:ptCount val="4"/>
                <c:pt idx="0">
                  <c:v>200</c:v>
                </c:pt>
                <c:pt idx="1">
                  <c:v>232</c:v>
                </c:pt>
                <c:pt idx="2">
                  <c:v>212</c:v>
                </c:pt>
                <c:pt idx="3">
                  <c:v>83</c:v>
                </c:pt>
              </c:numCache>
            </c:numRef>
          </c:val>
          <c:smooth val="1"/>
          <c:extLst>
            <c:ext xmlns:c16="http://schemas.microsoft.com/office/drawing/2014/chart" uri="{C3380CC4-5D6E-409C-BE32-E72D297353CC}">
              <c16:uniqueId val="{0000000C-5EE1-4015-9C6C-10AFDD8BDCF5}"/>
            </c:ext>
          </c:extLst>
        </c:ser>
        <c:dLbls>
          <c:showLegendKey val="0"/>
          <c:showVal val="0"/>
          <c:showCatName val="0"/>
          <c:showSerName val="0"/>
          <c:showPercent val="0"/>
          <c:showBubbleSize val="0"/>
        </c:dLbls>
        <c:marker val="1"/>
        <c:smooth val="0"/>
        <c:axId val="1815238623"/>
        <c:axId val="1815237183"/>
      </c:lineChart>
      <c:catAx>
        <c:axId val="839508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rtl="0">
              <a:defRPr lang="en-US" sz="800" b="0" i="0" u="none" strike="noStrike" kern="1200" baseline="0">
                <a:solidFill>
                  <a:schemeClr val="bg2">
                    <a:lumMod val="50000"/>
                  </a:schemeClr>
                </a:solidFill>
                <a:latin typeface="Bahnschrift Light" panose="020B0502040204020203" pitchFamily="34" charset="0"/>
                <a:ea typeface="+mn-ea"/>
                <a:cs typeface="+mn-cs"/>
              </a:defRPr>
            </a:pPr>
            <a:endParaRPr lang="en-US"/>
          </a:p>
        </c:txPr>
        <c:crossAx val="839506975"/>
        <c:crosses val="autoZero"/>
        <c:auto val="1"/>
        <c:lblAlgn val="ctr"/>
        <c:lblOffset val="100"/>
        <c:noMultiLvlLbl val="0"/>
      </c:catAx>
      <c:valAx>
        <c:axId val="839506975"/>
        <c:scaling>
          <c:orientation val="minMax"/>
          <c:min val="0"/>
        </c:scaling>
        <c:delete val="0"/>
        <c:axPos val="l"/>
        <c:title>
          <c:tx>
            <c:rich>
              <a:bodyPr rot="-5400000" spcFirstLastPara="1" vertOverflow="ellipsis" vert="horz" wrap="square" anchor="ctr" anchorCtr="1"/>
              <a:lstStyle/>
              <a:p>
                <a:pPr algn="ctr">
                  <a:defRPr lang="en-US" sz="700" b="0" i="0" u="none" strike="noStrike" kern="1200" baseline="0">
                    <a:solidFill>
                      <a:schemeClr val="bg2">
                        <a:lumMod val="50000"/>
                      </a:schemeClr>
                    </a:solidFill>
                    <a:latin typeface="Bahnschrift Light" panose="020B0502040204020203" pitchFamily="34" charset="0"/>
                    <a:ea typeface="+mn-ea"/>
                    <a:cs typeface="+mn-cs"/>
                  </a:defRPr>
                </a:pPr>
                <a:r>
                  <a:rPr lang="en-US" sz="700" b="0" i="0" u="none" strike="noStrike" kern="1200" baseline="0">
                    <a:solidFill>
                      <a:schemeClr val="bg2">
                        <a:lumMod val="50000"/>
                      </a:schemeClr>
                    </a:solidFill>
                    <a:latin typeface="Bahnschrift Light" panose="020B0502040204020203" pitchFamily="34" charset="0"/>
                    <a:ea typeface="+mn-ea"/>
                    <a:cs typeface="+mn-cs"/>
                  </a:rPr>
                  <a:t>Revenue ($)</a:t>
                </a:r>
              </a:p>
            </c:rich>
          </c:tx>
          <c:overlay val="0"/>
          <c:spPr>
            <a:noFill/>
            <a:ln>
              <a:noFill/>
            </a:ln>
            <a:effectLst/>
          </c:spPr>
          <c:txPr>
            <a:bodyPr rot="-5400000" spcFirstLastPara="1" vertOverflow="ellipsis" vert="horz" wrap="square" anchor="ctr" anchorCtr="1"/>
            <a:lstStyle/>
            <a:p>
              <a:pPr algn="ctr">
                <a:defRPr lang="en-US" sz="700" b="0" i="0" u="none" strike="noStrike" kern="1200" baseline="0">
                  <a:solidFill>
                    <a:schemeClr val="bg2">
                      <a:lumMod val="50000"/>
                    </a:schemeClr>
                  </a:solidFill>
                  <a:latin typeface="Bahnschrift Light" panose="020B0502040204020203" pitchFamily="34" charset="0"/>
                  <a:ea typeface="+mn-ea"/>
                  <a:cs typeface="+mn-cs"/>
                </a:defRPr>
              </a:pPr>
              <a:endParaRPr lang="en-US"/>
            </a:p>
          </c:txPr>
        </c:title>
        <c:numFmt formatCode="#,\K" sourceLinked="0"/>
        <c:majorTickMark val="in"/>
        <c:minorTickMark val="none"/>
        <c:tickLblPos val="nextTo"/>
        <c:spPr>
          <a:noFill/>
          <a:ln>
            <a:solidFill>
              <a:schemeClr val="bg2">
                <a:lumMod val="90000"/>
              </a:schemeClr>
            </a:solidFill>
          </a:ln>
          <a:effectLst/>
        </c:spPr>
        <c:txPr>
          <a:bodyPr rot="-60000000" spcFirstLastPara="1" vertOverflow="ellipsis" vert="horz" wrap="square" anchor="ctr" anchorCtr="1"/>
          <a:lstStyle/>
          <a:p>
            <a:pPr>
              <a:defRPr sz="800" b="0" i="0" u="none" strike="noStrike" kern="1200" baseline="0">
                <a:solidFill>
                  <a:schemeClr val="bg2">
                    <a:lumMod val="50000"/>
                  </a:schemeClr>
                </a:solidFill>
                <a:latin typeface="Bahnschrift Light" panose="020B0502040204020203" pitchFamily="34" charset="0"/>
                <a:ea typeface="+mn-ea"/>
                <a:cs typeface="+mn-cs"/>
              </a:defRPr>
            </a:pPr>
            <a:endParaRPr lang="en-US"/>
          </a:p>
        </c:txPr>
        <c:crossAx val="839508415"/>
        <c:crossesAt val="1"/>
        <c:crossBetween val="between"/>
      </c:valAx>
      <c:valAx>
        <c:axId val="1815237183"/>
        <c:scaling>
          <c:orientation val="minMax"/>
        </c:scaling>
        <c:delete val="0"/>
        <c:axPos val="r"/>
        <c:title>
          <c:tx>
            <c:rich>
              <a:bodyPr rot="-5400000" spcFirstLastPara="1" vertOverflow="ellipsis" vert="horz" wrap="square" anchor="ctr" anchorCtr="1"/>
              <a:lstStyle/>
              <a:p>
                <a:pPr algn="ctr" rtl="0">
                  <a:defRPr lang="en-US" sz="700" b="0" i="0" u="none" strike="noStrike" kern="1200" baseline="0">
                    <a:solidFill>
                      <a:schemeClr val="bg2">
                        <a:lumMod val="50000"/>
                      </a:schemeClr>
                    </a:solidFill>
                    <a:latin typeface="Bahnschrift Light" panose="020B0502040204020203" pitchFamily="34" charset="0"/>
                    <a:ea typeface="+mn-ea"/>
                    <a:cs typeface="+mn-cs"/>
                  </a:defRPr>
                </a:pPr>
                <a:r>
                  <a:rPr lang="en-US" sz="700" b="0" i="0" u="none" strike="noStrike" kern="1200" baseline="0">
                    <a:solidFill>
                      <a:schemeClr val="bg2">
                        <a:lumMod val="50000"/>
                      </a:schemeClr>
                    </a:solidFill>
                    <a:latin typeface="Bahnschrift Light" panose="020B0502040204020203" pitchFamily="34" charset="0"/>
                    <a:ea typeface="+mn-ea"/>
                    <a:cs typeface="+mn-cs"/>
                  </a:rPr>
                  <a:t>Quantity</a:t>
                </a:r>
              </a:p>
            </c:rich>
          </c:tx>
          <c:overlay val="0"/>
          <c:spPr>
            <a:noFill/>
            <a:ln>
              <a:noFill/>
            </a:ln>
            <a:effectLst/>
          </c:spPr>
          <c:txPr>
            <a:bodyPr rot="-5400000" spcFirstLastPara="1" vertOverflow="ellipsis" vert="horz" wrap="square" anchor="ctr" anchorCtr="1"/>
            <a:lstStyle/>
            <a:p>
              <a:pPr algn="ctr" rtl="0">
                <a:defRPr lang="en-US" sz="700" b="0" i="0" u="none" strike="noStrike" kern="1200" baseline="0">
                  <a:solidFill>
                    <a:schemeClr val="bg2">
                      <a:lumMod val="50000"/>
                    </a:schemeClr>
                  </a:solidFill>
                  <a:latin typeface="Bahnschrift Light" panose="020B0502040204020203" pitchFamily="34" charset="0"/>
                  <a:ea typeface="+mn-ea"/>
                  <a:cs typeface="+mn-cs"/>
                </a:defRPr>
              </a:pPr>
              <a:endParaRPr lang="en-US"/>
            </a:p>
          </c:txPr>
        </c:title>
        <c:numFmt formatCode="0" sourceLinked="1"/>
        <c:majorTickMark val="in"/>
        <c:minorTickMark val="none"/>
        <c:tickLblPos val="nextTo"/>
        <c:spPr>
          <a:noFill/>
          <a:ln>
            <a:solidFill>
              <a:schemeClr val="bg2">
                <a:lumMod val="90000"/>
              </a:schemeClr>
            </a:solidFill>
          </a:ln>
          <a:effectLst/>
        </c:spPr>
        <c:txPr>
          <a:bodyPr rot="-60000000" spcFirstLastPara="1" vertOverflow="ellipsis" vert="horz" wrap="square" anchor="ctr" anchorCtr="1"/>
          <a:lstStyle/>
          <a:p>
            <a:pPr algn="ctr">
              <a:defRPr lang="en-US" sz="800" b="0" i="0" u="none" strike="noStrike" kern="1200" baseline="0">
                <a:solidFill>
                  <a:schemeClr val="bg2">
                    <a:lumMod val="50000"/>
                  </a:schemeClr>
                </a:solidFill>
                <a:latin typeface="Bahnschrift Light" panose="020B0502040204020203" pitchFamily="34" charset="0"/>
                <a:ea typeface="+mn-ea"/>
                <a:cs typeface="+mn-cs"/>
              </a:defRPr>
            </a:pPr>
            <a:endParaRPr lang="en-US"/>
          </a:p>
        </c:txPr>
        <c:crossAx val="1815238623"/>
        <c:crosses val="max"/>
        <c:crossBetween val="between"/>
      </c:valAx>
      <c:catAx>
        <c:axId val="1815238623"/>
        <c:scaling>
          <c:orientation val="minMax"/>
        </c:scaling>
        <c:delete val="1"/>
        <c:axPos val="b"/>
        <c:numFmt formatCode="General" sourceLinked="1"/>
        <c:majorTickMark val="out"/>
        <c:minorTickMark val="none"/>
        <c:tickLblPos val="nextTo"/>
        <c:crossAx val="1815237183"/>
        <c:crosses val="autoZero"/>
        <c:auto val="1"/>
        <c:lblAlgn val="ctr"/>
        <c:lblOffset val="100"/>
        <c:noMultiLvlLbl val="0"/>
      </c:catAx>
      <c:spPr>
        <a:noFill/>
        <a:ln>
          <a:noFill/>
        </a:ln>
        <a:effectLst>
          <a:glow>
            <a:schemeClr val="accent1"/>
          </a:glow>
        </a:effectLst>
      </c:spPr>
    </c:plotArea>
    <c:legend>
      <c:legendPos val="t"/>
      <c:overlay val="0"/>
      <c:spPr>
        <a:noFill/>
        <a:ln>
          <a:noFill/>
        </a:ln>
        <a:effectLst/>
      </c:spPr>
      <c:txPr>
        <a:bodyPr rot="0" spcFirstLastPara="1" vertOverflow="ellipsis" vert="horz" wrap="square" anchor="ctr" anchorCtr="1"/>
        <a:lstStyle/>
        <a:p>
          <a:pPr algn="ctr" rtl="0">
            <a:defRPr lang="en-US" sz="800" b="0" i="0" u="none" strike="noStrike" kern="1200" baseline="0">
              <a:solidFill>
                <a:schemeClr val="bg2">
                  <a:lumMod val="50000"/>
                </a:schemeClr>
              </a:solidFill>
              <a:latin typeface="Bahnschrift Light" panose="020B0502040204020203"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[VBA-Challenge-Mainfile-Backup.xlsm]PivotTable!PivotTable9</c:name>
    <c:fmtId val="21"/>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sz="900">
                <a:latin typeface="Bahnschrift" panose="020B0502040204020203" pitchFamily="34" charset="0"/>
              </a:rPr>
              <a:t>Sales Composition</a:t>
            </a:r>
            <a:r>
              <a:rPr lang="en-US" sz="900" baseline="0">
                <a:latin typeface="Bahnschrift" panose="020B0502040204020203" pitchFamily="34" charset="0"/>
              </a:rPr>
              <a:t> by Product Category per Quarter</a:t>
            </a:r>
            <a:endParaRPr lang="en-US" sz="900">
              <a:latin typeface="Bahnschrift" panose="020B0502040204020203" pitchFamily="34" charset="0"/>
            </a:endParaRP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percentStacked"/>
        <c:varyColors val="0"/>
        <c:ser>
          <c:idx val="0"/>
          <c:order val="0"/>
          <c:tx>
            <c:strRef>
              <c:f>PivotTable!$B$35:$B$36</c:f>
              <c:strCache>
                <c:ptCount val="1"/>
                <c:pt idx="0">
                  <c:v>Books</c:v>
                </c:pt>
              </c:strCache>
            </c:strRef>
          </c:tx>
          <c:spPr>
            <a:solidFill>
              <a:schemeClr val="accent1"/>
            </a:solidFill>
            <a:ln>
              <a:noFill/>
            </a:ln>
            <a:effectLst/>
          </c:spPr>
          <c:cat>
            <c:multiLvlStrRef>
              <c:f>PivotTable!$A$37:$A$43</c:f>
              <c:multiLvlStrCache>
                <c:ptCount val="4"/>
                <c:lvl>
                  <c:pt idx="0">
                    <c:v>Q1</c:v>
                  </c:pt>
                  <c:pt idx="1">
                    <c:v>Q2</c:v>
                  </c:pt>
                  <c:pt idx="2">
                    <c:v>Q3</c:v>
                  </c:pt>
                  <c:pt idx="3">
                    <c:v>Q4</c:v>
                  </c:pt>
                </c:lvl>
                <c:lvl>
                  <c:pt idx="0">
                    <c:v>2024</c:v>
                  </c:pt>
                </c:lvl>
              </c:multiLvlStrCache>
            </c:multiLvlStrRef>
          </c:cat>
          <c:val>
            <c:numRef>
              <c:f>PivotTable!$B$37:$B$43</c:f>
              <c:numCache>
                <c:formatCode>General</c:formatCode>
                <c:ptCount val="4"/>
                <c:pt idx="0">
                  <c:v>41</c:v>
                </c:pt>
                <c:pt idx="1">
                  <c:v>51</c:v>
                </c:pt>
                <c:pt idx="2">
                  <c:v>26</c:v>
                </c:pt>
                <c:pt idx="3">
                  <c:v>13</c:v>
                </c:pt>
              </c:numCache>
            </c:numRef>
          </c:val>
          <c:extLst>
            <c:ext xmlns:c16="http://schemas.microsoft.com/office/drawing/2014/chart" uri="{C3380CC4-5D6E-409C-BE32-E72D297353CC}">
              <c16:uniqueId val="{00000000-402E-4F15-BDC1-E869E7E8DA1A}"/>
            </c:ext>
          </c:extLst>
        </c:ser>
        <c:ser>
          <c:idx val="1"/>
          <c:order val="1"/>
          <c:tx>
            <c:strRef>
              <c:f>PivotTable!$C$35:$C$36</c:f>
              <c:strCache>
                <c:ptCount val="1"/>
                <c:pt idx="0">
                  <c:v>Clothing</c:v>
                </c:pt>
              </c:strCache>
            </c:strRef>
          </c:tx>
          <c:spPr>
            <a:solidFill>
              <a:schemeClr val="accent2"/>
            </a:solidFill>
            <a:ln>
              <a:noFill/>
            </a:ln>
            <a:effectLst/>
          </c:spPr>
          <c:cat>
            <c:multiLvlStrRef>
              <c:f>PivotTable!$A$37:$A$43</c:f>
              <c:multiLvlStrCache>
                <c:ptCount val="4"/>
                <c:lvl>
                  <c:pt idx="0">
                    <c:v>Q1</c:v>
                  </c:pt>
                  <c:pt idx="1">
                    <c:v>Q2</c:v>
                  </c:pt>
                  <c:pt idx="2">
                    <c:v>Q3</c:v>
                  </c:pt>
                  <c:pt idx="3">
                    <c:v>Q4</c:v>
                  </c:pt>
                </c:lvl>
                <c:lvl>
                  <c:pt idx="0">
                    <c:v>2024</c:v>
                  </c:pt>
                </c:lvl>
              </c:multiLvlStrCache>
            </c:multiLvlStrRef>
          </c:cat>
          <c:val>
            <c:numRef>
              <c:f>PivotTable!$C$37:$C$43</c:f>
              <c:numCache>
                <c:formatCode>General</c:formatCode>
                <c:ptCount val="4"/>
                <c:pt idx="0">
                  <c:v>89</c:v>
                </c:pt>
                <c:pt idx="1">
                  <c:v>32</c:v>
                </c:pt>
                <c:pt idx="2">
                  <c:v>85</c:v>
                </c:pt>
                <c:pt idx="3">
                  <c:v>41</c:v>
                </c:pt>
              </c:numCache>
            </c:numRef>
          </c:val>
          <c:extLst>
            <c:ext xmlns:c16="http://schemas.microsoft.com/office/drawing/2014/chart" uri="{C3380CC4-5D6E-409C-BE32-E72D297353CC}">
              <c16:uniqueId val="{00000001-402E-4F15-BDC1-E869E7E8DA1A}"/>
            </c:ext>
          </c:extLst>
        </c:ser>
        <c:ser>
          <c:idx val="2"/>
          <c:order val="2"/>
          <c:tx>
            <c:strRef>
              <c:f>PivotTable!$D$35:$D$36</c:f>
              <c:strCache>
                <c:ptCount val="1"/>
                <c:pt idx="0">
                  <c:v>Electronics</c:v>
                </c:pt>
              </c:strCache>
            </c:strRef>
          </c:tx>
          <c:spPr>
            <a:solidFill>
              <a:schemeClr val="accent3"/>
            </a:solidFill>
            <a:ln>
              <a:noFill/>
            </a:ln>
            <a:effectLst/>
          </c:spPr>
          <c:cat>
            <c:multiLvlStrRef>
              <c:f>PivotTable!$A$37:$A$43</c:f>
              <c:multiLvlStrCache>
                <c:ptCount val="4"/>
                <c:lvl>
                  <c:pt idx="0">
                    <c:v>Q1</c:v>
                  </c:pt>
                  <c:pt idx="1">
                    <c:v>Q2</c:v>
                  </c:pt>
                  <c:pt idx="2">
                    <c:v>Q3</c:v>
                  </c:pt>
                  <c:pt idx="3">
                    <c:v>Q4</c:v>
                  </c:pt>
                </c:lvl>
                <c:lvl>
                  <c:pt idx="0">
                    <c:v>2024</c:v>
                  </c:pt>
                </c:lvl>
              </c:multiLvlStrCache>
            </c:multiLvlStrRef>
          </c:cat>
          <c:val>
            <c:numRef>
              <c:f>PivotTable!$D$37:$D$43</c:f>
              <c:numCache>
                <c:formatCode>General</c:formatCode>
                <c:ptCount val="4"/>
                <c:pt idx="0">
                  <c:v>11</c:v>
                </c:pt>
                <c:pt idx="1">
                  <c:v>50</c:v>
                </c:pt>
                <c:pt idx="2">
                  <c:v>27</c:v>
                </c:pt>
                <c:pt idx="3">
                  <c:v>6</c:v>
                </c:pt>
              </c:numCache>
            </c:numRef>
          </c:val>
          <c:extLst>
            <c:ext xmlns:c16="http://schemas.microsoft.com/office/drawing/2014/chart" uri="{C3380CC4-5D6E-409C-BE32-E72D297353CC}">
              <c16:uniqueId val="{00000002-402E-4F15-BDC1-E869E7E8DA1A}"/>
            </c:ext>
          </c:extLst>
        </c:ser>
        <c:ser>
          <c:idx val="3"/>
          <c:order val="3"/>
          <c:tx>
            <c:strRef>
              <c:f>PivotTable!$E$35:$E$36</c:f>
              <c:strCache>
                <c:ptCount val="1"/>
                <c:pt idx="0">
                  <c:v>Home</c:v>
                </c:pt>
              </c:strCache>
            </c:strRef>
          </c:tx>
          <c:spPr>
            <a:solidFill>
              <a:schemeClr val="accent4"/>
            </a:solidFill>
            <a:ln w="25400">
              <a:noFill/>
            </a:ln>
            <a:effectLst/>
          </c:spPr>
          <c:cat>
            <c:multiLvlStrRef>
              <c:f>PivotTable!$A$37:$A$43</c:f>
              <c:multiLvlStrCache>
                <c:ptCount val="4"/>
                <c:lvl>
                  <c:pt idx="0">
                    <c:v>Q1</c:v>
                  </c:pt>
                  <c:pt idx="1">
                    <c:v>Q2</c:v>
                  </c:pt>
                  <c:pt idx="2">
                    <c:v>Q3</c:v>
                  </c:pt>
                  <c:pt idx="3">
                    <c:v>Q4</c:v>
                  </c:pt>
                </c:lvl>
                <c:lvl>
                  <c:pt idx="0">
                    <c:v>2024</c:v>
                  </c:pt>
                </c:lvl>
              </c:multiLvlStrCache>
            </c:multiLvlStrRef>
          </c:cat>
          <c:val>
            <c:numRef>
              <c:f>PivotTable!$E$37:$E$43</c:f>
              <c:numCache>
                <c:formatCode>General</c:formatCode>
                <c:ptCount val="4"/>
                <c:pt idx="0">
                  <c:v>22</c:v>
                </c:pt>
                <c:pt idx="1">
                  <c:v>86</c:v>
                </c:pt>
                <c:pt idx="2">
                  <c:v>45</c:v>
                </c:pt>
                <c:pt idx="3">
                  <c:v>13</c:v>
                </c:pt>
              </c:numCache>
            </c:numRef>
          </c:val>
          <c:extLst>
            <c:ext xmlns:c16="http://schemas.microsoft.com/office/drawing/2014/chart" uri="{C3380CC4-5D6E-409C-BE32-E72D297353CC}">
              <c16:uniqueId val="{00000008-402E-4F15-BDC1-E869E7E8DA1A}"/>
            </c:ext>
          </c:extLst>
        </c:ser>
        <c:ser>
          <c:idx val="4"/>
          <c:order val="4"/>
          <c:tx>
            <c:strRef>
              <c:f>PivotTable!$F$35:$F$36</c:f>
              <c:strCache>
                <c:ptCount val="1"/>
                <c:pt idx="0">
                  <c:v>Sports</c:v>
                </c:pt>
              </c:strCache>
            </c:strRef>
          </c:tx>
          <c:spPr>
            <a:solidFill>
              <a:schemeClr val="accent5"/>
            </a:solidFill>
            <a:ln w="25400">
              <a:noFill/>
            </a:ln>
            <a:effectLst/>
          </c:spPr>
          <c:cat>
            <c:multiLvlStrRef>
              <c:f>PivotTable!$A$37:$A$43</c:f>
              <c:multiLvlStrCache>
                <c:ptCount val="4"/>
                <c:lvl>
                  <c:pt idx="0">
                    <c:v>Q1</c:v>
                  </c:pt>
                  <c:pt idx="1">
                    <c:v>Q2</c:v>
                  </c:pt>
                  <c:pt idx="2">
                    <c:v>Q3</c:v>
                  </c:pt>
                  <c:pt idx="3">
                    <c:v>Q4</c:v>
                  </c:pt>
                </c:lvl>
                <c:lvl>
                  <c:pt idx="0">
                    <c:v>2024</c:v>
                  </c:pt>
                </c:lvl>
              </c:multiLvlStrCache>
            </c:multiLvlStrRef>
          </c:cat>
          <c:val>
            <c:numRef>
              <c:f>PivotTable!$F$37:$F$43</c:f>
              <c:numCache>
                <c:formatCode>General</c:formatCode>
                <c:ptCount val="4"/>
                <c:pt idx="0">
                  <c:v>37</c:v>
                </c:pt>
                <c:pt idx="1">
                  <c:v>13</c:v>
                </c:pt>
                <c:pt idx="2">
                  <c:v>29</c:v>
                </c:pt>
                <c:pt idx="3">
                  <c:v>10</c:v>
                </c:pt>
              </c:numCache>
            </c:numRef>
          </c:val>
          <c:extLst>
            <c:ext xmlns:c16="http://schemas.microsoft.com/office/drawing/2014/chart" uri="{C3380CC4-5D6E-409C-BE32-E72D297353CC}">
              <c16:uniqueId val="{0000000A-402E-4F15-BDC1-E869E7E8DA1A}"/>
            </c:ext>
          </c:extLst>
        </c:ser>
        <c:dLbls>
          <c:showLegendKey val="0"/>
          <c:showVal val="0"/>
          <c:showCatName val="0"/>
          <c:showSerName val="0"/>
          <c:showPercent val="0"/>
          <c:showBubbleSize val="0"/>
        </c:dLbls>
        <c:axId val="1997876751"/>
        <c:axId val="1997880111"/>
      </c:areaChart>
      <c:catAx>
        <c:axId val="19978767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rtl="0">
              <a:defRPr lang="en-US" sz="800" b="0" i="0" u="none" strike="noStrike" kern="1200" baseline="0">
                <a:solidFill>
                  <a:schemeClr val="bg2">
                    <a:lumMod val="50000"/>
                  </a:schemeClr>
                </a:solidFill>
                <a:latin typeface="Bahnschrift Light" panose="020B0502040204020203" pitchFamily="34" charset="0"/>
                <a:ea typeface="+mn-ea"/>
                <a:cs typeface="+mn-cs"/>
              </a:defRPr>
            </a:pPr>
            <a:endParaRPr lang="en-US"/>
          </a:p>
        </c:txPr>
        <c:crossAx val="1997880111"/>
        <c:crosses val="autoZero"/>
        <c:auto val="1"/>
        <c:lblAlgn val="ctr"/>
        <c:lblOffset val="100"/>
        <c:noMultiLvlLbl val="0"/>
      </c:catAx>
      <c:valAx>
        <c:axId val="1997880111"/>
        <c:scaling>
          <c:orientation val="minMax"/>
        </c:scaling>
        <c:delete val="0"/>
        <c:axPos val="l"/>
        <c:numFmt formatCode="0%" sourceLinked="1"/>
        <c:majorTickMark val="in"/>
        <c:minorTickMark val="none"/>
        <c:tickLblPos val="nextTo"/>
        <c:spPr>
          <a:noFill/>
          <a:ln>
            <a:solidFill>
              <a:schemeClr val="bg2">
                <a:lumMod val="90000"/>
              </a:schemeClr>
            </a:solidFill>
          </a:ln>
          <a:effectLst/>
        </c:spPr>
        <c:txPr>
          <a:bodyPr rot="-60000000" spcFirstLastPara="1" vertOverflow="ellipsis" vert="horz" wrap="square" anchor="ctr" anchorCtr="1"/>
          <a:lstStyle/>
          <a:p>
            <a:pPr algn="ctr">
              <a:defRPr lang="en-US" sz="800" b="0" i="0" u="none" strike="noStrike" kern="1200" baseline="0">
                <a:solidFill>
                  <a:schemeClr val="bg2">
                    <a:lumMod val="50000"/>
                  </a:schemeClr>
                </a:solidFill>
                <a:latin typeface="Bahnschrift Light" panose="020B0502040204020203" pitchFamily="34" charset="0"/>
                <a:ea typeface="+mn-ea"/>
                <a:cs typeface="+mn-cs"/>
              </a:defRPr>
            </a:pPr>
            <a:endParaRPr lang="en-US"/>
          </a:p>
        </c:txPr>
        <c:crossAx val="1997876751"/>
        <c:crosses val="autoZero"/>
        <c:crossBetween val="midCat"/>
        <c:majorUnit val="0.25"/>
      </c:valAx>
      <c:spPr>
        <a:noFill/>
        <a:ln>
          <a:noFill/>
        </a:ln>
        <a:effectLst/>
      </c:spPr>
    </c:plotArea>
    <c:legend>
      <c:legendPos val="t"/>
      <c:overlay val="0"/>
      <c:spPr>
        <a:noFill/>
        <a:ln>
          <a:noFill/>
        </a:ln>
        <a:effectLst/>
      </c:spPr>
      <c:txPr>
        <a:bodyPr rot="0" spcFirstLastPara="1" vertOverflow="ellipsis" vert="horz" wrap="square" anchor="ctr" anchorCtr="1"/>
        <a:lstStyle/>
        <a:p>
          <a:pPr algn="ctr" rtl="0">
            <a:defRPr lang="en-US" sz="800" b="0" i="0" u="none" strike="noStrike" kern="1200" baseline="0">
              <a:solidFill>
                <a:schemeClr val="bg2">
                  <a:lumMod val="50000"/>
                </a:schemeClr>
              </a:solidFill>
              <a:latin typeface="Bahnschrift Light" panose="020B0502040204020203" pitchFamily="34" charset="0"/>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[VBA-Challenge-Mainfile-Backup.xlsm]PivotTable!PivotTable10</c:name>
    <c:fmtId val="22"/>
  </c:pivotSource>
  <c:chart>
    <c:title>
      <c:tx>
        <c:rich>
          <a:bodyPr rot="0" spcFirstLastPara="1" vertOverflow="ellipsis" vert="horz" wrap="square" anchor="ctr" anchorCtr="1"/>
          <a:lstStyle/>
          <a:p>
            <a:pPr algn="ctr" rtl="0">
              <a:defRPr lang="en-US" sz="900" b="0" i="0" u="none" strike="noStrike" kern="1200" spc="0" baseline="0">
                <a:solidFill>
                  <a:sysClr val="windowText" lastClr="000000"/>
                </a:solidFill>
                <a:latin typeface="Bahnschrift" panose="020B0502040204020203" pitchFamily="34" charset="0"/>
                <a:ea typeface="+mn-ea"/>
                <a:cs typeface="+mn-cs"/>
              </a:defRPr>
            </a:pPr>
            <a:r>
              <a:rPr lang="en-US" sz="900" b="0" i="0" u="none" strike="noStrike" kern="1200" spc="0" baseline="0">
                <a:solidFill>
                  <a:sysClr val="windowText" lastClr="000000"/>
                </a:solidFill>
                <a:latin typeface="Bahnschrift" panose="020B0502040204020203" pitchFamily="34" charset="0"/>
                <a:ea typeface="+mn-ea"/>
                <a:cs typeface="+mn-cs"/>
              </a:rPr>
              <a:t>Sales by Age and Product Categories</a:t>
            </a:r>
          </a:p>
        </c:rich>
      </c:tx>
      <c:layout>
        <c:manualLayout>
          <c:xMode val="edge"/>
          <c:yMode val="edge"/>
          <c:x val="0.23097863810830796"/>
          <c:y val="2.7696795546180809E-2"/>
        </c:manualLayout>
      </c:layout>
      <c:overlay val="0"/>
      <c:spPr>
        <a:noFill/>
        <a:ln>
          <a:noFill/>
        </a:ln>
        <a:effectLst/>
      </c:spPr>
      <c:txPr>
        <a:bodyPr rot="0" spcFirstLastPara="1" vertOverflow="ellipsis" vert="horz" wrap="square" anchor="ctr" anchorCtr="1"/>
        <a:lstStyle/>
        <a:p>
          <a:pPr algn="ctr" rtl="0">
            <a:defRPr lang="en-US" sz="900" b="0" i="0" u="none" strike="noStrike" kern="1200" spc="0" baseline="0">
              <a:solidFill>
                <a:sysClr val="windowText" lastClr="000000"/>
              </a:solidFill>
              <a:latin typeface="Bahnschrift" panose="020B0502040204020203"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27314502916497"/>
          <c:y val="0.12491065178484026"/>
          <c:w val="0.67515135840883056"/>
          <c:h val="0.75752879921539806"/>
        </c:manualLayout>
      </c:layout>
      <c:barChart>
        <c:barDir val="col"/>
        <c:grouping val="stacked"/>
        <c:varyColors val="0"/>
        <c:ser>
          <c:idx val="0"/>
          <c:order val="0"/>
          <c:tx>
            <c:strRef>
              <c:f>PivotTable!$J$35:$J$36</c:f>
              <c:strCache>
                <c:ptCount val="1"/>
                <c:pt idx="0">
                  <c:v>Books</c:v>
                </c:pt>
              </c:strCache>
            </c:strRef>
          </c:tx>
          <c:spPr>
            <a:solidFill>
              <a:schemeClr val="accent1"/>
            </a:solidFill>
            <a:ln>
              <a:noFill/>
            </a:ln>
            <a:effectLst/>
          </c:spPr>
          <c:invertIfNegative val="0"/>
          <c:cat>
            <c:strRef>
              <c:f>PivotTable!$I$37:$I$41</c:f>
              <c:strCache>
                <c:ptCount val="4"/>
                <c:pt idx="0">
                  <c:v>Young</c:v>
                </c:pt>
                <c:pt idx="1">
                  <c:v>Young Adult</c:v>
                </c:pt>
                <c:pt idx="2">
                  <c:v>Adult</c:v>
                </c:pt>
                <c:pt idx="3">
                  <c:v>Senior</c:v>
                </c:pt>
              </c:strCache>
            </c:strRef>
          </c:cat>
          <c:val>
            <c:numRef>
              <c:f>PivotTable!$J$37:$J$41</c:f>
              <c:numCache>
                <c:formatCode>General</c:formatCode>
                <c:ptCount val="4"/>
                <c:pt idx="1">
                  <c:v>44</c:v>
                </c:pt>
                <c:pt idx="2">
                  <c:v>50</c:v>
                </c:pt>
                <c:pt idx="3">
                  <c:v>37</c:v>
                </c:pt>
              </c:numCache>
            </c:numRef>
          </c:val>
          <c:extLst>
            <c:ext xmlns:c16="http://schemas.microsoft.com/office/drawing/2014/chart" uri="{C3380CC4-5D6E-409C-BE32-E72D297353CC}">
              <c16:uniqueId val="{00000000-2AC6-40A6-BACA-B9E02F43B8E2}"/>
            </c:ext>
          </c:extLst>
        </c:ser>
        <c:ser>
          <c:idx val="1"/>
          <c:order val="1"/>
          <c:tx>
            <c:strRef>
              <c:f>PivotTable!$K$35:$K$36</c:f>
              <c:strCache>
                <c:ptCount val="1"/>
                <c:pt idx="0">
                  <c:v>Clothing</c:v>
                </c:pt>
              </c:strCache>
            </c:strRef>
          </c:tx>
          <c:spPr>
            <a:solidFill>
              <a:schemeClr val="accent2"/>
            </a:solidFill>
            <a:ln>
              <a:noFill/>
            </a:ln>
            <a:effectLst/>
          </c:spPr>
          <c:invertIfNegative val="0"/>
          <c:cat>
            <c:strRef>
              <c:f>PivotTable!$I$37:$I$41</c:f>
              <c:strCache>
                <c:ptCount val="4"/>
                <c:pt idx="0">
                  <c:v>Young</c:v>
                </c:pt>
                <c:pt idx="1">
                  <c:v>Young Adult</c:v>
                </c:pt>
                <c:pt idx="2">
                  <c:v>Adult</c:v>
                </c:pt>
                <c:pt idx="3">
                  <c:v>Senior</c:v>
                </c:pt>
              </c:strCache>
            </c:strRef>
          </c:cat>
          <c:val>
            <c:numRef>
              <c:f>PivotTable!$K$37:$K$41</c:f>
              <c:numCache>
                <c:formatCode>General</c:formatCode>
                <c:ptCount val="4"/>
                <c:pt idx="0">
                  <c:v>18</c:v>
                </c:pt>
                <c:pt idx="1">
                  <c:v>96</c:v>
                </c:pt>
                <c:pt idx="2">
                  <c:v>91</c:v>
                </c:pt>
                <c:pt idx="3">
                  <c:v>42</c:v>
                </c:pt>
              </c:numCache>
            </c:numRef>
          </c:val>
          <c:extLst>
            <c:ext xmlns:c16="http://schemas.microsoft.com/office/drawing/2014/chart" uri="{C3380CC4-5D6E-409C-BE32-E72D297353CC}">
              <c16:uniqueId val="{00000001-2AC6-40A6-BACA-B9E02F43B8E2}"/>
            </c:ext>
          </c:extLst>
        </c:ser>
        <c:ser>
          <c:idx val="2"/>
          <c:order val="2"/>
          <c:tx>
            <c:strRef>
              <c:f>PivotTable!$L$35:$L$36</c:f>
              <c:strCache>
                <c:ptCount val="1"/>
                <c:pt idx="0">
                  <c:v>Electronics</c:v>
                </c:pt>
              </c:strCache>
            </c:strRef>
          </c:tx>
          <c:spPr>
            <a:solidFill>
              <a:schemeClr val="accent3"/>
            </a:solidFill>
            <a:ln>
              <a:noFill/>
            </a:ln>
            <a:effectLst/>
          </c:spPr>
          <c:invertIfNegative val="0"/>
          <c:cat>
            <c:strRef>
              <c:f>PivotTable!$I$37:$I$41</c:f>
              <c:strCache>
                <c:ptCount val="4"/>
                <c:pt idx="0">
                  <c:v>Young</c:v>
                </c:pt>
                <c:pt idx="1">
                  <c:v>Young Adult</c:v>
                </c:pt>
                <c:pt idx="2">
                  <c:v>Adult</c:v>
                </c:pt>
                <c:pt idx="3">
                  <c:v>Senior</c:v>
                </c:pt>
              </c:strCache>
            </c:strRef>
          </c:cat>
          <c:val>
            <c:numRef>
              <c:f>PivotTable!$L$37:$L$41</c:f>
              <c:numCache>
                <c:formatCode>General</c:formatCode>
                <c:ptCount val="4"/>
                <c:pt idx="0">
                  <c:v>4</c:v>
                </c:pt>
                <c:pt idx="1">
                  <c:v>24</c:v>
                </c:pt>
                <c:pt idx="2">
                  <c:v>52</c:v>
                </c:pt>
                <c:pt idx="3">
                  <c:v>14</c:v>
                </c:pt>
              </c:numCache>
            </c:numRef>
          </c:val>
          <c:extLst>
            <c:ext xmlns:c16="http://schemas.microsoft.com/office/drawing/2014/chart" uri="{C3380CC4-5D6E-409C-BE32-E72D297353CC}">
              <c16:uniqueId val="{00000002-2AC6-40A6-BACA-B9E02F43B8E2}"/>
            </c:ext>
          </c:extLst>
        </c:ser>
        <c:ser>
          <c:idx val="3"/>
          <c:order val="3"/>
          <c:tx>
            <c:strRef>
              <c:f>PivotTable!$M$35:$M$36</c:f>
              <c:strCache>
                <c:ptCount val="1"/>
                <c:pt idx="0">
                  <c:v>Home</c:v>
                </c:pt>
              </c:strCache>
            </c:strRef>
          </c:tx>
          <c:spPr>
            <a:solidFill>
              <a:schemeClr val="accent4"/>
            </a:solidFill>
            <a:ln>
              <a:noFill/>
            </a:ln>
            <a:effectLst/>
          </c:spPr>
          <c:invertIfNegative val="0"/>
          <c:cat>
            <c:strRef>
              <c:f>PivotTable!$I$37:$I$41</c:f>
              <c:strCache>
                <c:ptCount val="4"/>
                <c:pt idx="0">
                  <c:v>Young</c:v>
                </c:pt>
                <c:pt idx="1">
                  <c:v>Young Adult</c:v>
                </c:pt>
                <c:pt idx="2">
                  <c:v>Adult</c:v>
                </c:pt>
                <c:pt idx="3">
                  <c:v>Senior</c:v>
                </c:pt>
              </c:strCache>
            </c:strRef>
          </c:cat>
          <c:val>
            <c:numRef>
              <c:f>PivotTable!$M$37:$M$41</c:f>
              <c:numCache>
                <c:formatCode>General</c:formatCode>
                <c:ptCount val="4"/>
                <c:pt idx="0">
                  <c:v>10</c:v>
                </c:pt>
                <c:pt idx="1">
                  <c:v>75</c:v>
                </c:pt>
                <c:pt idx="2">
                  <c:v>71</c:v>
                </c:pt>
                <c:pt idx="3">
                  <c:v>10</c:v>
                </c:pt>
              </c:numCache>
            </c:numRef>
          </c:val>
          <c:extLst>
            <c:ext xmlns:c16="http://schemas.microsoft.com/office/drawing/2014/chart" uri="{C3380CC4-5D6E-409C-BE32-E72D297353CC}">
              <c16:uniqueId val="{00000006-5282-45DC-873F-5A4129D40F0D}"/>
            </c:ext>
          </c:extLst>
        </c:ser>
        <c:ser>
          <c:idx val="4"/>
          <c:order val="4"/>
          <c:tx>
            <c:strRef>
              <c:f>PivotTable!$N$35:$N$36</c:f>
              <c:strCache>
                <c:ptCount val="1"/>
                <c:pt idx="0">
                  <c:v>Sports</c:v>
                </c:pt>
              </c:strCache>
            </c:strRef>
          </c:tx>
          <c:spPr>
            <a:solidFill>
              <a:schemeClr val="accent5"/>
            </a:solidFill>
            <a:ln>
              <a:noFill/>
            </a:ln>
            <a:effectLst/>
          </c:spPr>
          <c:invertIfNegative val="0"/>
          <c:cat>
            <c:strRef>
              <c:f>PivotTable!$I$37:$I$41</c:f>
              <c:strCache>
                <c:ptCount val="4"/>
                <c:pt idx="0">
                  <c:v>Young</c:v>
                </c:pt>
                <c:pt idx="1">
                  <c:v>Young Adult</c:v>
                </c:pt>
                <c:pt idx="2">
                  <c:v>Adult</c:v>
                </c:pt>
                <c:pt idx="3">
                  <c:v>Senior</c:v>
                </c:pt>
              </c:strCache>
            </c:strRef>
          </c:cat>
          <c:val>
            <c:numRef>
              <c:f>PivotTable!$N$37:$N$41</c:f>
              <c:numCache>
                <c:formatCode>General</c:formatCode>
                <c:ptCount val="4"/>
                <c:pt idx="0">
                  <c:v>2</c:v>
                </c:pt>
                <c:pt idx="1">
                  <c:v>39</c:v>
                </c:pt>
                <c:pt idx="2">
                  <c:v>29</c:v>
                </c:pt>
                <c:pt idx="3">
                  <c:v>19</c:v>
                </c:pt>
              </c:numCache>
            </c:numRef>
          </c:val>
          <c:extLst>
            <c:ext xmlns:c16="http://schemas.microsoft.com/office/drawing/2014/chart" uri="{C3380CC4-5D6E-409C-BE32-E72D297353CC}">
              <c16:uniqueId val="{00000008-5282-45DC-873F-5A4129D40F0D}"/>
            </c:ext>
          </c:extLst>
        </c:ser>
        <c:dLbls>
          <c:showLegendKey val="0"/>
          <c:showVal val="0"/>
          <c:showCatName val="0"/>
          <c:showSerName val="0"/>
          <c:showPercent val="0"/>
          <c:showBubbleSize val="0"/>
        </c:dLbls>
        <c:gapWidth val="25"/>
        <c:overlap val="100"/>
        <c:axId val="1649389071"/>
        <c:axId val="1649385711"/>
      </c:barChart>
      <c:catAx>
        <c:axId val="1649389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rtl="0">
              <a:defRPr lang="en-US" sz="800" b="0" i="0" u="none" strike="noStrike" kern="1200" baseline="0">
                <a:solidFill>
                  <a:schemeClr val="bg2">
                    <a:lumMod val="50000"/>
                  </a:schemeClr>
                </a:solidFill>
                <a:latin typeface="Bahnschrift Light" panose="020B0502040204020203" pitchFamily="34" charset="0"/>
                <a:ea typeface="+mn-ea"/>
                <a:cs typeface="+mn-cs"/>
              </a:defRPr>
            </a:pPr>
            <a:endParaRPr lang="en-US"/>
          </a:p>
        </c:txPr>
        <c:crossAx val="1649385711"/>
        <c:crosses val="autoZero"/>
        <c:auto val="1"/>
        <c:lblAlgn val="ctr"/>
        <c:lblOffset val="100"/>
        <c:tickLblSkip val="1"/>
        <c:noMultiLvlLbl val="0"/>
      </c:catAx>
      <c:valAx>
        <c:axId val="1649385711"/>
        <c:scaling>
          <c:orientation val="minMax"/>
        </c:scaling>
        <c:delete val="0"/>
        <c:axPos val="l"/>
        <c:title>
          <c:tx>
            <c:rich>
              <a:bodyPr rot="-5400000" spcFirstLastPara="1" vertOverflow="ellipsis" vert="horz" wrap="square" anchor="ctr" anchorCtr="1"/>
              <a:lstStyle/>
              <a:p>
                <a:pPr algn="ctr" rtl="0">
                  <a:defRPr lang="en-US" sz="700" b="0" i="0" u="none" strike="noStrike" kern="1200" baseline="0">
                    <a:solidFill>
                      <a:schemeClr val="bg2">
                        <a:lumMod val="50000"/>
                      </a:schemeClr>
                    </a:solidFill>
                    <a:latin typeface="Bahnschrift Light" panose="020B0502040204020203" pitchFamily="34" charset="0"/>
                    <a:ea typeface="+mn-ea"/>
                    <a:cs typeface="+mn-cs"/>
                  </a:defRPr>
                </a:pPr>
                <a:r>
                  <a:rPr lang="en-US" sz="700" b="0" i="0" u="none" strike="noStrike" kern="1200" baseline="0">
                    <a:solidFill>
                      <a:schemeClr val="bg2">
                        <a:lumMod val="50000"/>
                      </a:schemeClr>
                    </a:solidFill>
                    <a:latin typeface="Bahnschrift Light" panose="020B0502040204020203" pitchFamily="34" charset="0"/>
                    <a:ea typeface="+mn-ea"/>
                    <a:cs typeface="+mn-cs"/>
                  </a:rPr>
                  <a:t>Quantity</a:t>
                </a:r>
              </a:p>
            </c:rich>
          </c:tx>
          <c:overlay val="0"/>
          <c:spPr>
            <a:noFill/>
            <a:ln>
              <a:noFill/>
            </a:ln>
            <a:effectLst/>
          </c:spPr>
          <c:txPr>
            <a:bodyPr rot="-5400000" spcFirstLastPara="1" vertOverflow="ellipsis" vert="horz" wrap="square" anchor="ctr" anchorCtr="1"/>
            <a:lstStyle/>
            <a:p>
              <a:pPr algn="ctr" rtl="0">
                <a:defRPr lang="en-US" sz="700" b="0" i="0" u="none" strike="noStrike" kern="1200" baseline="0">
                  <a:solidFill>
                    <a:schemeClr val="bg2">
                      <a:lumMod val="50000"/>
                    </a:schemeClr>
                  </a:solidFill>
                  <a:latin typeface="Bahnschrift Light" panose="020B0502040204020203" pitchFamily="34" charset="0"/>
                  <a:ea typeface="+mn-ea"/>
                  <a:cs typeface="+mn-cs"/>
                </a:defRPr>
              </a:pPr>
              <a:endParaRPr lang="en-US"/>
            </a:p>
          </c:txPr>
        </c:title>
        <c:numFmt formatCode="General" sourceLinked="1"/>
        <c:majorTickMark val="in"/>
        <c:minorTickMark val="none"/>
        <c:tickLblPos val="nextTo"/>
        <c:spPr>
          <a:noFill/>
          <a:ln>
            <a:solidFill>
              <a:schemeClr val="bg2">
                <a:lumMod val="90000"/>
              </a:schemeClr>
            </a:solidFill>
          </a:ln>
          <a:effectLst/>
        </c:spPr>
        <c:txPr>
          <a:bodyPr rot="-60000000" spcFirstLastPara="1" vertOverflow="ellipsis" vert="horz" wrap="square" anchor="ctr" anchorCtr="1"/>
          <a:lstStyle/>
          <a:p>
            <a:pPr algn="ctr">
              <a:defRPr lang="en-US" sz="800" b="0" i="0" u="none" strike="noStrike" kern="1200" baseline="0">
                <a:solidFill>
                  <a:schemeClr val="bg2">
                    <a:lumMod val="50000"/>
                  </a:schemeClr>
                </a:solidFill>
                <a:latin typeface="Bahnschrift Light" panose="020B0502040204020203" pitchFamily="34" charset="0"/>
                <a:ea typeface="+mn-ea"/>
                <a:cs typeface="+mn-cs"/>
              </a:defRPr>
            </a:pPr>
            <a:endParaRPr lang="en-US"/>
          </a:p>
        </c:txPr>
        <c:crossAx val="1649389071"/>
        <c:crosses val="autoZero"/>
        <c:crossBetween val="between"/>
      </c:valAx>
      <c:spPr>
        <a:noFill/>
        <a:ln w="0">
          <a:noFill/>
        </a:ln>
        <a:effectLst/>
      </c:spPr>
    </c:plotArea>
    <c:legend>
      <c:legendPos val="r"/>
      <c:layout>
        <c:manualLayout>
          <c:xMode val="edge"/>
          <c:yMode val="edge"/>
          <c:x val="0.80320886752136755"/>
          <c:y val="0.28708884754297614"/>
          <c:w val="0.16491231879816234"/>
          <c:h val="0.44504412413324368"/>
        </c:manualLayout>
      </c:layout>
      <c:overlay val="0"/>
      <c:spPr>
        <a:noFill/>
        <a:ln>
          <a:noFill/>
        </a:ln>
        <a:effectLst/>
      </c:spPr>
      <c:txPr>
        <a:bodyPr rot="0" spcFirstLastPara="1" vertOverflow="ellipsis" vert="horz" wrap="square" anchor="ctr" anchorCtr="1"/>
        <a:lstStyle/>
        <a:p>
          <a:pPr algn="ctr" rtl="0">
            <a:defRPr lang="en-US" sz="800" b="0" i="0" u="none" strike="noStrike" kern="1200" baseline="0">
              <a:solidFill>
                <a:schemeClr val="bg2">
                  <a:lumMod val="50000"/>
                </a:schemeClr>
              </a:solidFill>
              <a:latin typeface="Bahnschrift Light" panose="020B0502040204020203"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[VBA-Challenge-Mainfile-Backup.xlsm]PivotTable!PivotTable20</c:name>
    <c:fmtId val="27"/>
  </c:pivotSource>
  <c:chart>
    <c:title>
      <c:tx>
        <c:rich>
          <a:bodyPr rot="0" spcFirstLastPara="1" vertOverflow="ellipsis" vert="horz" wrap="square" anchor="ctr" anchorCtr="1"/>
          <a:lstStyle/>
          <a:p>
            <a:pPr algn="ctr" rtl="0">
              <a:defRPr lang="en-US" sz="900" b="0" i="0" u="none" strike="noStrike" kern="1200" spc="0" baseline="0">
                <a:solidFill>
                  <a:sysClr val="windowText" lastClr="000000"/>
                </a:solidFill>
                <a:latin typeface="Bahnschrift" panose="020B0502040204020203" pitchFamily="34" charset="0"/>
                <a:ea typeface="+mn-ea"/>
                <a:cs typeface="+mn-cs"/>
              </a:defRPr>
            </a:pPr>
            <a:r>
              <a:rPr lang="en-US" sz="900" b="0" i="0" u="none" strike="noStrike" kern="1200" spc="0" baseline="0">
                <a:solidFill>
                  <a:sysClr val="windowText" lastClr="000000"/>
                </a:solidFill>
                <a:latin typeface="Bahnschrift" panose="020B0502040204020203" pitchFamily="34" charset="0"/>
                <a:ea typeface="+mn-ea"/>
                <a:cs typeface="+mn-cs"/>
              </a:rPr>
              <a:t>Customer Distribution by Region</a:t>
            </a:r>
          </a:p>
        </c:rich>
      </c:tx>
      <c:overlay val="0"/>
      <c:spPr>
        <a:noFill/>
        <a:ln>
          <a:noFill/>
        </a:ln>
        <a:effectLst/>
      </c:spPr>
      <c:txPr>
        <a:bodyPr rot="0" spcFirstLastPara="1" vertOverflow="ellipsis" vert="horz" wrap="square" anchor="ctr" anchorCtr="1"/>
        <a:lstStyle/>
        <a:p>
          <a:pPr algn="ctr" rtl="0">
            <a:defRPr lang="en-US" sz="900" b="0" i="0" u="none" strike="noStrike" kern="1200" spc="0" baseline="0">
              <a:solidFill>
                <a:sysClr val="windowText" lastClr="000000"/>
              </a:solidFill>
              <a:latin typeface="Bahnschrift" panose="020B0502040204020203" pitchFamily="34"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s>
    <c:plotArea>
      <c:layout>
        <c:manualLayout>
          <c:layoutTarget val="inner"/>
          <c:xMode val="edge"/>
          <c:yMode val="edge"/>
          <c:x val="0.20585864258193334"/>
          <c:y val="0.14458728588498193"/>
          <c:w val="0.56768933189823256"/>
          <c:h val="0.81340931411224648"/>
        </c:manualLayout>
      </c:layout>
      <c:pieChart>
        <c:varyColors val="1"/>
        <c:ser>
          <c:idx val="0"/>
          <c:order val="0"/>
          <c:tx>
            <c:strRef>
              <c:f>PivotTable!$J$43</c:f>
              <c:strCache>
                <c:ptCount val="1"/>
                <c:pt idx="0">
                  <c:v>Total</c:v>
                </c:pt>
              </c:strCache>
            </c:strRef>
          </c:tx>
          <c:spPr>
            <a:ln>
              <a:noFill/>
            </a:ln>
          </c:spPr>
          <c:explosion val="2"/>
          <c:dPt>
            <c:idx val="0"/>
            <c:bubble3D val="0"/>
            <c:spPr>
              <a:solidFill>
                <a:schemeClr val="accent1"/>
              </a:solidFill>
              <a:ln w="19050">
                <a:noFill/>
              </a:ln>
              <a:effectLst/>
            </c:spPr>
            <c:extLst>
              <c:ext xmlns:c16="http://schemas.microsoft.com/office/drawing/2014/chart" uri="{C3380CC4-5D6E-409C-BE32-E72D297353CC}">
                <c16:uniqueId val="{00000001-72A3-455C-A1B3-6D6BBC440A70}"/>
              </c:ext>
            </c:extLst>
          </c:dPt>
          <c:dPt>
            <c:idx val="1"/>
            <c:bubble3D val="0"/>
            <c:spPr>
              <a:solidFill>
                <a:schemeClr val="accent2"/>
              </a:solidFill>
              <a:ln w="19050">
                <a:noFill/>
              </a:ln>
              <a:effectLst/>
            </c:spPr>
            <c:extLst>
              <c:ext xmlns:c16="http://schemas.microsoft.com/office/drawing/2014/chart" uri="{C3380CC4-5D6E-409C-BE32-E72D297353CC}">
                <c16:uniqueId val="{00000003-72A3-455C-A1B3-6D6BBC440A70}"/>
              </c:ext>
            </c:extLst>
          </c:dPt>
          <c:dPt>
            <c:idx val="2"/>
            <c:bubble3D val="0"/>
            <c:spPr>
              <a:solidFill>
                <a:schemeClr val="accent3"/>
              </a:solidFill>
              <a:ln w="19050">
                <a:noFill/>
              </a:ln>
              <a:effectLst/>
            </c:spPr>
            <c:extLst>
              <c:ext xmlns:c16="http://schemas.microsoft.com/office/drawing/2014/chart" uri="{C3380CC4-5D6E-409C-BE32-E72D297353CC}">
                <c16:uniqueId val="{00000005-72A3-455C-A1B3-6D6BBC440A70}"/>
              </c:ext>
            </c:extLst>
          </c:dPt>
          <c:dPt>
            <c:idx val="3"/>
            <c:bubble3D val="0"/>
            <c:spPr>
              <a:solidFill>
                <a:schemeClr val="accent4"/>
              </a:solidFill>
              <a:ln w="19050">
                <a:noFill/>
              </a:ln>
              <a:effectLst/>
            </c:spPr>
            <c:extLst>
              <c:ext xmlns:c16="http://schemas.microsoft.com/office/drawing/2014/chart" uri="{C3380CC4-5D6E-409C-BE32-E72D297353CC}">
                <c16:uniqueId val="{00000007-72A3-455C-A1B3-6D6BBC440A7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PivotTable!$I$44:$I$48</c:f>
              <c:strCache>
                <c:ptCount val="4"/>
                <c:pt idx="0">
                  <c:v>East</c:v>
                </c:pt>
                <c:pt idx="1">
                  <c:v>North</c:v>
                </c:pt>
                <c:pt idx="2">
                  <c:v>South</c:v>
                </c:pt>
                <c:pt idx="3">
                  <c:v>West</c:v>
                </c:pt>
              </c:strCache>
            </c:strRef>
          </c:cat>
          <c:val>
            <c:numRef>
              <c:f>PivotTable!$J$44:$J$48</c:f>
              <c:numCache>
                <c:formatCode>General</c:formatCode>
                <c:ptCount val="4"/>
                <c:pt idx="0">
                  <c:v>220</c:v>
                </c:pt>
                <c:pt idx="1">
                  <c:v>206</c:v>
                </c:pt>
                <c:pt idx="2">
                  <c:v>158</c:v>
                </c:pt>
                <c:pt idx="3">
                  <c:v>143</c:v>
                </c:pt>
              </c:numCache>
            </c:numRef>
          </c:val>
          <c:extLst>
            <c:ext xmlns:c16="http://schemas.microsoft.com/office/drawing/2014/chart" uri="{C3380CC4-5D6E-409C-BE32-E72D297353CC}">
              <c16:uniqueId val="{00000008-72A3-455C-A1B3-6D6BBC440A70}"/>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xdr:col>
      <xdr:colOff>15768</xdr:colOff>
      <xdr:row>4</xdr:row>
      <xdr:rowOff>101726</xdr:rowOff>
    </xdr:from>
    <xdr:to>
      <xdr:col>2</xdr:col>
      <xdr:colOff>1090505</xdr:colOff>
      <xdr:row>5</xdr:row>
      <xdr:rowOff>121869</xdr:rowOff>
    </xdr:to>
    <xdr:sp macro="" textlink="">
      <xdr:nvSpPr>
        <xdr:cNvPr id="2" name="Rectangle 1">
          <a:extLst>
            <a:ext uri="{FF2B5EF4-FFF2-40B4-BE49-F238E27FC236}">
              <a16:creationId xmlns:a16="http://schemas.microsoft.com/office/drawing/2014/main" id="{7253150D-7D6A-DC49-4057-CFF092E0A62A}"/>
            </a:ext>
          </a:extLst>
        </xdr:cNvPr>
        <xdr:cNvSpPr/>
      </xdr:nvSpPr>
      <xdr:spPr>
        <a:xfrm>
          <a:off x="696806" y="1056699"/>
          <a:ext cx="1976437" cy="190500"/>
        </a:xfrm>
        <a:prstGeom prst="rect">
          <a:avLst/>
        </a:prstGeom>
        <a:solidFill>
          <a:srgbClr val="32A8B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kern="1200">
              <a:solidFill>
                <a:schemeClr val="bg1"/>
              </a:solidFill>
              <a:latin typeface="Bahnschrift" panose="020B0502040204020203" pitchFamily="34" charset="0"/>
            </a:rPr>
            <a:t>Total Revenue</a:t>
          </a:r>
        </a:p>
      </xdr:txBody>
    </xdr:sp>
    <xdr:clientData/>
  </xdr:twoCellAnchor>
  <xdr:twoCellAnchor editAs="absolute">
    <xdr:from>
      <xdr:col>1</xdr:col>
      <xdr:colOff>17355</xdr:colOff>
      <xdr:row>5</xdr:row>
      <xdr:rowOff>123799</xdr:rowOff>
    </xdr:from>
    <xdr:to>
      <xdr:col>2</xdr:col>
      <xdr:colOff>1092092</xdr:colOff>
      <xdr:row>10</xdr:row>
      <xdr:rowOff>118991</xdr:rowOff>
    </xdr:to>
    <xdr:sp macro="" textlink="PivotTable!A4">
      <xdr:nvSpPr>
        <xdr:cNvPr id="3" name="Rectangle 2">
          <a:extLst>
            <a:ext uri="{FF2B5EF4-FFF2-40B4-BE49-F238E27FC236}">
              <a16:creationId xmlns:a16="http://schemas.microsoft.com/office/drawing/2014/main" id="{6E4010C3-9009-459A-9FCF-3D9913D2D475}"/>
            </a:ext>
          </a:extLst>
        </xdr:cNvPr>
        <xdr:cNvSpPr/>
      </xdr:nvSpPr>
      <xdr:spPr>
        <a:xfrm>
          <a:off x="933872" y="1250262"/>
          <a:ext cx="1976437" cy="872097"/>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9FEEAA6-3549-4A1A-9E39-FFF41C33B93A}" type="TxLink">
            <a:rPr lang="en-US" sz="2400" b="0" i="0" u="none" strike="noStrike" kern="1200">
              <a:solidFill>
                <a:srgbClr val="000000"/>
              </a:solidFill>
              <a:latin typeface="Bahnschrift" panose="020B0502040204020203" pitchFamily="34" charset="0"/>
              <a:ea typeface="Calibri"/>
              <a:cs typeface="Calibri"/>
            </a:rPr>
            <a:pPr algn="ctr"/>
            <a:t> $41.205,92 </a:t>
          </a:fld>
          <a:endParaRPr lang="en-US" sz="2400" kern="1200">
            <a:solidFill>
              <a:schemeClr val="bg1"/>
            </a:solidFill>
            <a:latin typeface="Bahnschrift" panose="020B0502040204020203" pitchFamily="34" charset="0"/>
          </a:endParaRPr>
        </a:p>
      </xdr:txBody>
    </xdr:sp>
    <xdr:clientData/>
  </xdr:twoCellAnchor>
  <xdr:twoCellAnchor editAs="absolute">
    <xdr:from>
      <xdr:col>2</xdr:col>
      <xdr:colOff>1151650</xdr:colOff>
      <xdr:row>4</xdr:row>
      <xdr:rowOff>99854</xdr:rowOff>
    </xdr:from>
    <xdr:to>
      <xdr:col>2</xdr:col>
      <xdr:colOff>3137262</xdr:colOff>
      <xdr:row>10</xdr:row>
      <xdr:rowOff>118991</xdr:rowOff>
    </xdr:to>
    <xdr:grpSp>
      <xdr:nvGrpSpPr>
        <xdr:cNvPr id="34" name="Group 33">
          <a:extLst>
            <a:ext uri="{FF2B5EF4-FFF2-40B4-BE49-F238E27FC236}">
              <a16:creationId xmlns:a16="http://schemas.microsoft.com/office/drawing/2014/main" id="{76F1641A-FCDE-509C-F22C-10FBE8B8FF39}"/>
            </a:ext>
          </a:extLst>
        </xdr:cNvPr>
        <xdr:cNvGrpSpPr/>
      </xdr:nvGrpSpPr>
      <xdr:grpSpPr>
        <a:xfrm>
          <a:off x="2964473" y="1042112"/>
          <a:ext cx="1985612" cy="1063814"/>
          <a:chOff x="2966967" y="1050151"/>
          <a:chExt cx="1988787" cy="1058705"/>
        </a:xfrm>
      </xdr:grpSpPr>
      <xdr:sp macro="" textlink="">
        <xdr:nvSpPr>
          <xdr:cNvPr id="4" name="Rectangle 3">
            <a:extLst>
              <a:ext uri="{FF2B5EF4-FFF2-40B4-BE49-F238E27FC236}">
                <a16:creationId xmlns:a16="http://schemas.microsoft.com/office/drawing/2014/main" id="{7C139B4F-F8C0-4FBD-AD40-B2C34429C8CD}"/>
              </a:ext>
            </a:extLst>
          </xdr:cNvPr>
          <xdr:cNvSpPr/>
        </xdr:nvSpPr>
        <xdr:spPr>
          <a:xfrm>
            <a:off x="2966967" y="1050151"/>
            <a:ext cx="1987200" cy="193593"/>
          </a:xfrm>
          <a:prstGeom prst="rect">
            <a:avLst/>
          </a:prstGeom>
          <a:solidFill>
            <a:srgbClr val="9E597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kern="1200">
                <a:solidFill>
                  <a:schemeClr val="bg1"/>
                </a:solidFill>
                <a:latin typeface="Bahnschrift" panose="020B0502040204020203" pitchFamily="34" charset="0"/>
              </a:rPr>
              <a:t>Quantity Sold</a:t>
            </a:r>
          </a:p>
        </xdr:txBody>
      </xdr:sp>
      <xdr:sp macro="" textlink="PivotTable!B4">
        <xdr:nvSpPr>
          <xdr:cNvPr id="5" name="Rectangle 4">
            <a:extLst>
              <a:ext uri="{FF2B5EF4-FFF2-40B4-BE49-F238E27FC236}">
                <a16:creationId xmlns:a16="http://schemas.microsoft.com/office/drawing/2014/main" id="{D71DBFF7-894D-4B2A-B28B-A3E9E9A6DFE8}"/>
              </a:ext>
            </a:extLst>
          </xdr:cNvPr>
          <xdr:cNvSpPr/>
        </xdr:nvSpPr>
        <xdr:spPr>
          <a:xfrm>
            <a:off x="2968554" y="1243801"/>
            <a:ext cx="1987200" cy="865055"/>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D09225A2-54D4-45B3-B617-B7C7783879FC}" type="TxLink">
              <a:rPr lang="en-US" sz="2400" b="0" i="0" u="none" strike="noStrike" kern="1200">
                <a:solidFill>
                  <a:srgbClr val="000000"/>
                </a:solidFill>
                <a:latin typeface="Bahnschrift" panose="020B0502040204020203" pitchFamily="34" charset="0"/>
                <a:ea typeface="Calibri"/>
                <a:cs typeface="Calibri"/>
              </a:rPr>
              <a:pPr marL="0" indent="0" algn="ctr"/>
              <a:t>727</a:t>
            </a:fld>
            <a:endParaRPr lang="en-US" sz="2400" b="0" i="0" u="none" strike="noStrike" kern="1200">
              <a:solidFill>
                <a:srgbClr val="000000"/>
              </a:solidFill>
              <a:latin typeface="Bahnschrift" panose="020B0502040204020203" pitchFamily="34" charset="0"/>
              <a:ea typeface="Calibri"/>
              <a:cs typeface="Calibri"/>
            </a:endParaRPr>
          </a:p>
        </xdr:txBody>
      </xdr:sp>
    </xdr:grpSp>
    <xdr:clientData/>
  </xdr:twoCellAnchor>
  <xdr:twoCellAnchor editAs="absolute">
    <xdr:from>
      <xdr:col>1</xdr:col>
      <xdr:colOff>19797</xdr:colOff>
      <xdr:row>11</xdr:row>
      <xdr:rowOff>7562</xdr:rowOff>
    </xdr:from>
    <xdr:to>
      <xdr:col>2</xdr:col>
      <xdr:colOff>3596327</xdr:colOff>
      <xdr:row>23</xdr:row>
      <xdr:rowOff>135961</xdr:rowOff>
    </xdr:to>
    <xdr:sp macro="" textlink="">
      <xdr:nvSpPr>
        <xdr:cNvPr id="10" name="Rectangle 9">
          <a:extLst>
            <a:ext uri="{FF2B5EF4-FFF2-40B4-BE49-F238E27FC236}">
              <a16:creationId xmlns:a16="http://schemas.microsoft.com/office/drawing/2014/main" id="{83667B11-53A9-445E-9F6B-91DB2BFE56CE}"/>
            </a:ext>
          </a:extLst>
        </xdr:cNvPr>
        <xdr:cNvSpPr/>
      </xdr:nvSpPr>
      <xdr:spPr>
        <a:xfrm>
          <a:off x="934197" y="2203621"/>
          <a:ext cx="4568486" cy="2262832"/>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kern="1200">
            <a:solidFill>
              <a:schemeClr val="bg1"/>
            </a:solidFill>
            <a:latin typeface="Bahnschrift" panose="020B0502040204020203" pitchFamily="34" charset="0"/>
          </a:endParaRPr>
        </a:p>
      </xdr:txBody>
    </xdr:sp>
    <xdr:clientData/>
  </xdr:twoCellAnchor>
  <xdr:twoCellAnchor editAs="absolute">
    <xdr:from>
      <xdr:col>2</xdr:col>
      <xdr:colOff>3660257</xdr:colOff>
      <xdr:row>11</xdr:row>
      <xdr:rowOff>7100</xdr:rowOff>
    </xdr:from>
    <xdr:to>
      <xdr:col>4</xdr:col>
      <xdr:colOff>367501</xdr:colOff>
      <xdr:row>23</xdr:row>
      <xdr:rowOff>135499</xdr:rowOff>
    </xdr:to>
    <xdr:sp macro="" textlink="">
      <xdr:nvSpPr>
        <xdr:cNvPr id="11" name="Rectangle 10">
          <a:extLst>
            <a:ext uri="{FF2B5EF4-FFF2-40B4-BE49-F238E27FC236}">
              <a16:creationId xmlns:a16="http://schemas.microsoft.com/office/drawing/2014/main" id="{C5B7F801-8479-47D5-8148-70306F9F18CD}"/>
            </a:ext>
          </a:extLst>
        </xdr:cNvPr>
        <xdr:cNvSpPr/>
      </xdr:nvSpPr>
      <xdr:spPr>
        <a:xfrm>
          <a:off x="5476515" y="2197648"/>
          <a:ext cx="3584215" cy="2248814"/>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kern="1200">
            <a:solidFill>
              <a:schemeClr val="bg1"/>
            </a:solidFill>
            <a:latin typeface="Bahnschrift" panose="020B0502040204020203" pitchFamily="34" charset="0"/>
          </a:endParaRPr>
        </a:p>
      </xdr:txBody>
    </xdr:sp>
    <xdr:clientData/>
  </xdr:twoCellAnchor>
  <xdr:twoCellAnchor editAs="absolute">
    <xdr:from>
      <xdr:col>1</xdr:col>
      <xdr:colOff>22492</xdr:colOff>
      <xdr:row>24</xdr:row>
      <xdr:rowOff>28428</xdr:rowOff>
    </xdr:from>
    <xdr:to>
      <xdr:col>2</xdr:col>
      <xdr:colOff>3402263</xdr:colOff>
      <xdr:row>36</xdr:row>
      <xdr:rowOff>156827</xdr:rowOff>
    </xdr:to>
    <xdr:sp macro="" textlink="">
      <xdr:nvSpPr>
        <xdr:cNvPr id="12" name="Rectangle 11">
          <a:extLst>
            <a:ext uri="{FF2B5EF4-FFF2-40B4-BE49-F238E27FC236}">
              <a16:creationId xmlns:a16="http://schemas.microsoft.com/office/drawing/2014/main" id="{DF4D7427-1BFD-4B5D-B6F2-0AA3513166F3}"/>
            </a:ext>
          </a:extLst>
        </xdr:cNvPr>
        <xdr:cNvSpPr/>
      </xdr:nvSpPr>
      <xdr:spPr>
        <a:xfrm>
          <a:off x="938229" y="4589361"/>
          <a:ext cx="4282139" cy="229759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kern="1200">
            <a:solidFill>
              <a:schemeClr val="bg1"/>
            </a:solidFill>
            <a:latin typeface="Bahnschrift" panose="020B0502040204020203" pitchFamily="34" charset="0"/>
          </a:endParaRPr>
        </a:p>
      </xdr:txBody>
    </xdr:sp>
    <xdr:clientData/>
  </xdr:twoCellAnchor>
  <xdr:twoCellAnchor editAs="absolute">
    <xdr:from>
      <xdr:col>2</xdr:col>
      <xdr:colOff>3447992</xdr:colOff>
      <xdr:row>24</xdr:row>
      <xdr:rowOff>28428</xdr:rowOff>
    </xdr:from>
    <xdr:to>
      <xdr:col>4</xdr:col>
      <xdr:colOff>364306</xdr:colOff>
      <xdr:row>36</xdr:row>
      <xdr:rowOff>156827</xdr:rowOff>
    </xdr:to>
    <xdr:sp macro="" textlink="">
      <xdr:nvSpPr>
        <xdr:cNvPr id="13" name="Rectangle 12">
          <a:extLst>
            <a:ext uri="{FF2B5EF4-FFF2-40B4-BE49-F238E27FC236}">
              <a16:creationId xmlns:a16="http://schemas.microsoft.com/office/drawing/2014/main" id="{53D3EC2D-C64E-4D6C-9557-4CB7C1277ADC}"/>
            </a:ext>
          </a:extLst>
        </xdr:cNvPr>
        <xdr:cNvSpPr/>
      </xdr:nvSpPr>
      <xdr:spPr>
        <a:xfrm>
          <a:off x="5263973" y="4532774"/>
          <a:ext cx="3776688" cy="2264847"/>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kern="1200">
            <a:solidFill>
              <a:schemeClr val="bg1"/>
            </a:solidFill>
            <a:latin typeface="Bahnschrift" panose="020B0502040204020203" pitchFamily="34" charset="0"/>
          </a:endParaRPr>
        </a:p>
      </xdr:txBody>
    </xdr:sp>
    <xdr:clientData/>
  </xdr:twoCellAnchor>
  <xdr:twoCellAnchor editAs="absolute">
    <xdr:from>
      <xdr:col>2</xdr:col>
      <xdr:colOff>3196174</xdr:colOff>
      <xdr:row>4</xdr:row>
      <xdr:rowOff>99854</xdr:rowOff>
    </xdr:from>
    <xdr:to>
      <xdr:col>3</xdr:col>
      <xdr:colOff>803669</xdr:colOff>
      <xdr:row>5</xdr:row>
      <xdr:rowOff>123742</xdr:rowOff>
    </xdr:to>
    <xdr:sp macro="" textlink="">
      <xdr:nvSpPr>
        <xdr:cNvPr id="6" name="Rectangle 5">
          <a:extLst>
            <a:ext uri="{FF2B5EF4-FFF2-40B4-BE49-F238E27FC236}">
              <a16:creationId xmlns:a16="http://schemas.microsoft.com/office/drawing/2014/main" id="{0AFB7CBA-0EC8-4214-A9F8-15A24961DD29}"/>
            </a:ext>
          </a:extLst>
        </xdr:cNvPr>
        <xdr:cNvSpPr/>
      </xdr:nvSpPr>
      <xdr:spPr>
        <a:xfrm>
          <a:off x="5006412" y="1053262"/>
          <a:ext cx="1996454" cy="195752"/>
        </a:xfrm>
        <a:prstGeom prst="rect">
          <a:avLst/>
        </a:prstGeom>
        <a:solidFill>
          <a:srgbClr val="F5974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kern="1200">
              <a:solidFill>
                <a:schemeClr val="bg1"/>
              </a:solidFill>
              <a:latin typeface="Bahnschrift" panose="020B0502040204020203" pitchFamily="34" charset="0"/>
            </a:rPr>
            <a:t>Product</a:t>
          </a:r>
          <a:r>
            <a:rPr lang="en-US" sz="1200" kern="1200" baseline="0">
              <a:solidFill>
                <a:schemeClr val="bg1"/>
              </a:solidFill>
              <a:latin typeface="Bahnschrift" panose="020B0502040204020203" pitchFamily="34" charset="0"/>
            </a:rPr>
            <a:t> Sold</a:t>
          </a:r>
          <a:endParaRPr lang="en-US" sz="1200" kern="1200">
            <a:solidFill>
              <a:schemeClr val="bg1"/>
            </a:solidFill>
            <a:latin typeface="Bahnschrift" panose="020B0502040204020203" pitchFamily="34" charset="0"/>
          </a:endParaRPr>
        </a:p>
      </xdr:txBody>
    </xdr:sp>
    <xdr:clientData/>
  </xdr:twoCellAnchor>
  <xdr:twoCellAnchor editAs="absolute">
    <xdr:from>
      <xdr:col>2</xdr:col>
      <xdr:colOff>3197761</xdr:colOff>
      <xdr:row>5</xdr:row>
      <xdr:rowOff>123799</xdr:rowOff>
    </xdr:from>
    <xdr:to>
      <xdr:col>3</xdr:col>
      <xdr:colOff>805256</xdr:colOff>
      <xdr:row>10</xdr:row>
      <xdr:rowOff>118991</xdr:rowOff>
    </xdr:to>
    <xdr:sp macro="" textlink="PivotTable!F4">
      <xdr:nvSpPr>
        <xdr:cNvPr id="7" name="Rectangle 6">
          <a:extLst>
            <a:ext uri="{FF2B5EF4-FFF2-40B4-BE49-F238E27FC236}">
              <a16:creationId xmlns:a16="http://schemas.microsoft.com/office/drawing/2014/main" id="{7E4B4042-54A8-4B4D-BAAE-6401CA96328F}"/>
            </a:ext>
          </a:extLst>
        </xdr:cNvPr>
        <xdr:cNvSpPr/>
      </xdr:nvSpPr>
      <xdr:spPr>
        <a:xfrm>
          <a:off x="5013861" y="1253891"/>
          <a:ext cx="1982645" cy="884192"/>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E98391D0-E323-464B-B2A8-D3CB528CB51F}" type="TxLink">
            <a:rPr lang="en-US" sz="2400" b="0" i="0" u="none" strike="noStrike" kern="1200">
              <a:solidFill>
                <a:srgbClr val="000000"/>
              </a:solidFill>
              <a:latin typeface="Bahnschrift" panose="020B0502040204020203" pitchFamily="34" charset="0"/>
              <a:ea typeface="Calibri"/>
              <a:cs typeface="Calibri"/>
            </a:rPr>
            <a:pPr marL="0" indent="0" algn="ctr"/>
            <a:t>48 </a:t>
          </a:fld>
          <a:endParaRPr lang="en-US" sz="2400" b="0" i="0" u="none" strike="noStrike" kern="1200">
            <a:solidFill>
              <a:srgbClr val="000000"/>
            </a:solidFill>
            <a:latin typeface="Bahnschrift" panose="020B0502040204020203" pitchFamily="34" charset="0"/>
            <a:ea typeface="Calibri"/>
            <a:cs typeface="Calibri"/>
          </a:endParaRPr>
        </a:p>
      </xdr:txBody>
    </xdr:sp>
    <xdr:clientData/>
  </xdr:twoCellAnchor>
  <xdr:twoCellAnchor editAs="absolute">
    <xdr:from>
      <xdr:col>3</xdr:col>
      <xdr:colOff>862372</xdr:colOff>
      <xdr:row>4</xdr:row>
      <xdr:rowOff>99854</xdr:rowOff>
    </xdr:from>
    <xdr:to>
      <xdr:col>4</xdr:col>
      <xdr:colOff>368533</xdr:colOff>
      <xdr:row>5</xdr:row>
      <xdr:rowOff>123742</xdr:rowOff>
    </xdr:to>
    <xdr:sp macro="" textlink="">
      <xdr:nvSpPr>
        <xdr:cNvPr id="8" name="Rectangle 7">
          <a:extLst>
            <a:ext uri="{FF2B5EF4-FFF2-40B4-BE49-F238E27FC236}">
              <a16:creationId xmlns:a16="http://schemas.microsoft.com/office/drawing/2014/main" id="{1EEF9776-808C-40B2-8BD0-A5BCC2C8E744}"/>
            </a:ext>
          </a:extLst>
        </xdr:cNvPr>
        <xdr:cNvSpPr/>
      </xdr:nvSpPr>
      <xdr:spPr>
        <a:xfrm>
          <a:off x="7066932" y="1053262"/>
          <a:ext cx="1998897" cy="195752"/>
        </a:xfrm>
        <a:prstGeom prst="rect">
          <a:avLst/>
        </a:prstGeom>
        <a:solidFill>
          <a:srgbClr val="DF726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kern="1200">
              <a:solidFill>
                <a:schemeClr val="bg1"/>
              </a:solidFill>
              <a:latin typeface="Bahnschrift" panose="020B0502040204020203" pitchFamily="34" charset="0"/>
            </a:rPr>
            <a:t>Customer Engagement</a:t>
          </a:r>
        </a:p>
      </xdr:txBody>
    </xdr:sp>
    <xdr:clientData/>
  </xdr:twoCellAnchor>
  <xdr:twoCellAnchor editAs="absolute">
    <xdr:from>
      <xdr:col>3</xdr:col>
      <xdr:colOff>863959</xdr:colOff>
      <xdr:row>5</xdr:row>
      <xdr:rowOff>123799</xdr:rowOff>
    </xdr:from>
    <xdr:to>
      <xdr:col>4</xdr:col>
      <xdr:colOff>370120</xdr:colOff>
      <xdr:row>10</xdr:row>
      <xdr:rowOff>118991</xdr:rowOff>
    </xdr:to>
    <xdr:sp macro="" textlink="PivotTable!D4">
      <xdr:nvSpPr>
        <xdr:cNvPr id="9" name="Rectangle 8">
          <a:extLst>
            <a:ext uri="{FF2B5EF4-FFF2-40B4-BE49-F238E27FC236}">
              <a16:creationId xmlns:a16="http://schemas.microsoft.com/office/drawing/2014/main" id="{E321D7AD-70E5-4083-88BD-48B1A360CF44}"/>
            </a:ext>
          </a:extLst>
        </xdr:cNvPr>
        <xdr:cNvSpPr/>
      </xdr:nvSpPr>
      <xdr:spPr>
        <a:xfrm>
          <a:off x="7055209" y="1253891"/>
          <a:ext cx="1995361" cy="884192"/>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E852D6DC-42F1-4A08-86B8-0C6BD4E22E8A}" type="TxLink">
            <a:rPr lang="en-US" sz="2400" b="0" i="0" u="none" strike="noStrike" kern="1200">
              <a:solidFill>
                <a:srgbClr val="000000"/>
              </a:solidFill>
              <a:latin typeface="Bahnschrift" panose="020B0502040204020203" pitchFamily="34" charset="0"/>
              <a:ea typeface="Calibri"/>
              <a:cs typeface="Calibri"/>
            </a:rPr>
            <a:pPr marL="0" indent="0" algn="ctr"/>
            <a:t>98 </a:t>
          </a:fld>
          <a:endParaRPr lang="en-US" sz="2400" b="0" i="0" u="none" strike="noStrike" kern="1200">
            <a:solidFill>
              <a:srgbClr val="000000"/>
            </a:solidFill>
            <a:latin typeface="Bahnschrift" panose="020B0502040204020203" pitchFamily="34" charset="0"/>
            <a:ea typeface="Calibri"/>
            <a:cs typeface="Calibri"/>
          </a:endParaRPr>
        </a:p>
      </xdr:txBody>
    </xdr:sp>
    <xdr:clientData/>
  </xdr:twoCellAnchor>
  <xdr:twoCellAnchor editAs="absolute">
    <xdr:from>
      <xdr:col>4</xdr:col>
      <xdr:colOff>434608</xdr:colOff>
      <xdr:row>15</xdr:row>
      <xdr:rowOff>149436</xdr:rowOff>
    </xdr:from>
    <xdr:to>
      <xdr:col>7</xdr:col>
      <xdr:colOff>226165</xdr:colOff>
      <xdr:row>26</xdr:row>
      <xdr:rowOff>63223</xdr:rowOff>
    </xdr:to>
    <mc:AlternateContent xmlns:mc="http://schemas.openxmlformats.org/markup-compatibility/2006" xmlns:a14="http://schemas.microsoft.com/office/drawing/2010/main">
      <mc:Choice Requires="a14">
        <xdr:graphicFrame macro="">
          <xdr:nvGraphicFramePr>
            <xdr:cNvPr id="18" name="ProductCategory">
              <a:extLst>
                <a:ext uri="{FF2B5EF4-FFF2-40B4-BE49-F238E27FC236}">
                  <a16:creationId xmlns:a16="http://schemas.microsoft.com/office/drawing/2014/main" id="{D180F2C3-E7F5-4BCB-824B-4A3A86E7BC74}"/>
                </a:ext>
              </a:extLst>
            </xdr:cNvPr>
            <xdr:cNvGraphicFramePr/>
          </xdr:nvGraphicFramePr>
          <xdr:xfrm>
            <a:off x="0" y="0"/>
            <a:ext cx="0" cy="0"/>
          </xdr:xfrm>
          <a:graphic>
            <a:graphicData uri="http://schemas.microsoft.com/office/drawing/2010/slicer">
              <sle:slicer xmlns:sle="http://schemas.microsoft.com/office/drawing/2010/slicer" name="ProductCategory"/>
            </a:graphicData>
          </a:graphic>
        </xdr:graphicFrame>
      </mc:Choice>
      <mc:Fallback xmlns="">
        <xdr:sp macro="" textlink="">
          <xdr:nvSpPr>
            <xdr:cNvPr id="0" name=""/>
            <xdr:cNvSpPr>
              <a:spLocks noTextEdit="1"/>
            </xdr:cNvSpPr>
          </xdr:nvSpPr>
          <xdr:spPr>
            <a:xfrm>
              <a:off x="9109527" y="3006936"/>
              <a:ext cx="1635106" cy="18290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881905</xdr:colOff>
      <xdr:row>11</xdr:row>
      <xdr:rowOff>26429</xdr:rowOff>
    </xdr:from>
    <xdr:to>
      <xdr:col>2</xdr:col>
      <xdr:colOff>3638565</xdr:colOff>
      <xdr:row>23</xdr:row>
      <xdr:rowOff>106689</xdr:rowOff>
    </xdr:to>
    <xdr:graphicFrame macro="">
      <xdr:nvGraphicFramePr>
        <xdr:cNvPr id="24" name="Chart 23">
          <a:extLst>
            <a:ext uri="{FF2B5EF4-FFF2-40B4-BE49-F238E27FC236}">
              <a16:creationId xmlns:a16="http://schemas.microsoft.com/office/drawing/2014/main" id="{BF465336-180C-4B9B-BFBE-B00784CE09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editAs="absolute">
    <xdr:from>
      <xdr:col>1</xdr:col>
      <xdr:colOff>545621</xdr:colOff>
      <xdr:row>8</xdr:row>
      <xdr:rowOff>41912</xdr:rowOff>
    </xdr:from>
    <xdr:to>
      <xdr:col>2</xdr:col>
      <xdr:colOff>563826</xdr:colOff>
      <xdr:row>9</xdr:row>
      <xdr:rowOff>90742</xdr:rowOff>
    </xdr:to>
    <xdr:sp macro="" textlink="PivotTable!H11">
      <xdr:nvSpPr>
        <xdr:cNvPr id="30" name="TextBox 29">
          <a:extLst>
            <a:ext uri="{FF2B5EF4-FFF2-40B4-BE49-F238E27FC236}">
              <a16:creationId xmlns:a16="http://schemas.microsoft.com/office/drawing/2014/main" id="{CEA427E4-FB44-BA99-BDD3-7F6979A8B743}"/>
            </a:ext>
          </a:extLst>
        </xdr:cNvPr>
        <xdr:cNvSpPr txBox="1"/>
      </xdr:nvSpPr>
      <xdr:spPr>
        <a:xfrm>
          <a:off x="1459243" y="1698351"/>
          <a:ext cx="918869" cy="22377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68967E24-B0E6-42CC-8A52-F3A4402FAD12}" type="TxLink">
            <a:rPr lang="en-US" sz="850" b="0" i="0" u="none" strike="noStrike" kern="1200">
              <a:solidFill>
                <a:srgbClr val="000000"/>
              </a:solidFill>
              <a:latin typeface="Bahnschrift Light" panose="020B0502040204020203" pitchFamily="34" charset="0"/>
              <a:ea typeface="Calibri"/>
              <a:cs typeface="Calibri"/>
            </a:rPr>
            <a:pPr marL="0" indent="0" algn="ctr"/>
            <a:t>-62,4% ▼</a:t>
          </a:fld>
          <a:endParaRPr lang="en-US" sz="850" b="0" i="0" u="none" strike="noStrike" kern="1200">
            <a:solidFill>
              <a:srgbClr val="000000"/>
            </a:solidFill>
            <a:latin typeface="Bahnschrift Light" panose="020B0502040204020203" pitchFamily="34" charset="0"/>
            <a:ea typeface="Calibri"/>
            <a:cs typeface="Calibri"/>
          </a:endParaRPr>
        </a:p>
      </xdr:txBody>
    </xdr:sp>
    <xdr:clientData/>
  </xdr:twoCellAnchor>
  <xdr:twoCellAnchor editAs="absolute">
    <xdr:from>
      <xdr:col>1</xdr:col>
      <xdr:colOff>452954</xdr:colOff>
      <xdr:row>9</xdr:row>
      <xdr:rowOff>56669</xdr:rowOff>
    </xdr:from>
    <xdr:to>
      <xdr:col>2</xdr:col>
      <xdr:colOff>656493</xdr:colOff>
      <xdr:row>10</xdr:row>
      <xdr:rowOff>102031</xdr:rowOff>
    </xdr:to>
    <xdr:sp macro="" textlink="">
      <xdr:nvSpPr>
        <xdr:cNvPr id="31" name="TextBox 30">
          <a:extLst>
            <a:ext uri="{FF2B5EF4-FFF2-40B4-BE49-F238E27FC236}">
              <a16:creationId xmlns:a16="http://schemas.microsoft.com/office/drawing/2014/main" id="{A0BBDC6D-7EDA-D44D-3969-62EA223D6F05}"/>
            </a:ext>
          </a:extLst>
        </xdr:cNvPr>
        <xdr:cNvSpPr txBox="1"/>
      </xdr:nvSpPr>
      <xdr:spPr>
        <a:xfrm>
          <a:off x="1367354" y="1897128"/>
          <a:ext cx="1105239" cy="2231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kern="1200">
              <a:latin typeface="Bahnschrift Light" panose="020B0502040204020203" pitchFamily="34" charset="0"/>
            </a:rPr>
            <a:t>vs Previous</a:t>
          </a:r>
          <a:r>
            <a:rPr lang="en-US" sz="800" kern="1200" baseline="0">
              <a:latin typeface="Bahnschrift Light" panose="020B0502040204020203" pitchFamily="34" charset="0"/>
            </a:rPr>
            <a:t> Quarter</a:t>
          </a:r>
          <a:endParaRPr lang="en-US" sz="800" kern="1200">
            <a:latin typeface="Bahnschrift Light" panose="020B0502040204020203" pitchFamily="34" charset="0"/>
          </a:endParaRPr>
        </a:p>
      </xdr:txBody>
    </xdr:sp>
    <xdr:clientData/>
  </xdr:twoCellAnchor>
  <xdr:twoCellAnchor editAs="absolute">
    <xdr:from>
      <xdr:col>2</xdr:col>
      <xdr:colOff>1803908</xdr:colOff>
      <xdr:row>8</xdr:row>
      <xdr:rowOff>41912</xdr:rowOff>
    </xdr:from>
    <xdr:to>
      <xdr:col>2</xdr:col>
      <xdr:colOff>2479580</xdr:colOff>
      <xdr:row>9</xdr:row>
      <xdr:rowOff>90742</xdr:rowOff>
    </xdr:to>
    <xdr:sp macro="" textlink="PivotTable!I11">
      <xdr:nvSpPr>
        <xdr:cNvPr id="32" name="TextBox 31">
          <a:extLst>
            <a:ext uri="{FF2B5EF4-FFF2-40B4-BE49-F238E27FC236}">
              <a16:creationId xmlns:a16="http://schemas.microsoft.com/office/drawing/2014/main" id="{4679B042-3319-4044-804F-5B7904C9F5B9}"/>
            </a:ext>
          </a:extLst>
        </xdr:cNvPr>
        <xdr:cNvSpPr txBox="1"/>
      </xdr:nvSpPr>
      <xdr:spPr>
        <a:xfrm>
          <a:off x="3618194" y="1698351"/>
          <a:ext cx="675672" cy="22377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61385302-E3ED-4B06-AFBD-1A68B58CB5DC}" type="TxLink">
            <a:rPr lang="en-US" sz="850" b="0" i="0" u="none" strike="noStrike" kern="1200">
              <a:solidFill>
                <a:srgbClr val="000000"/>
              </a:solidFill>
              <a:latin typeface="Bahnschrift Light" panose="020B0502040204020203" pitchFamily="34" charset="0"/>
              <a:ea typeface="Calibri"/>
              <a:cs typeface="Calibri"/>
            </a:rPr>
            <a:pPr marL="0" indent="0" algn="ctr"/>
            <a:t>-60,8% ▼</a:t>
          </a:fld>
          <a:endParaRPr lang="en-US" sz="850" b="0" i="0" u="none" strike="noStrike" kern="1200">
            <a:solidFill>
              <a:srgbClr val="000000"/>
            </a:solidFill>
            <a:latin typeface="Bahnschrift Light" panose="020B0502040204020203" pitchFamily="34" charset="0"/>
            <a:ea typeface="Calibri"/>
            <a:cs typeface="Calibri"/>
          </a:endParaRPr>
        </a:p>
      </xdr:txBody>
    </xdr:sp>
    <xdr:clientData/>
  </xdr:twoCellAnchor>
  <xdr:twoCellAnchor editAs="absolute">
    <xdr:from>
      <xdr:col>2</xdr:col>
      <xdr:colOff>1589895</xdr:colOff>
      <xdr:row>9</xdr:row>
      <xdr:rowOff>56669</xdr:rowOff>
    </xdr:from>
    <xdr:to>
      <xdr:col>2</xdr:col>
      <xdr:colOff>2692350</xdr:colOff>
      <xdr:row>10</xdr:row>
      <xdr:rowOff>102031</xdr:rowOff>
    </xdr:to>
    <xdr:sp macro="" textlink="">
      <xdr:nvSpPr>
        <xdr:cNvPr id="33" name="TextBox 32">
          <a:extLst>
            <a:ext uri="{FF2B5EF4-FFF2-40B4-BE49-F238E27FC236}">
              <a16:creationId xmlns:a16="http://schemas.microsoft.com/office/drawing/2014/main" id="{5B90A8D7-3293-4ABD-849A-B1C3E0D0EDDC}"/>
            </a:ext>
          </a:extLst>
        </xdr:cNvPr>
        <xdr:cNvSpPr txBox="1"/>
      </xdr:nvSpPr>
      <xdr:spPr>
        <a:xfrm>
          <a:off x="3405995" y="1897128"/>
          <a:ext cx="1102455" cy="2231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kern="1200">
              <a:latin typeface="Bahnschrift Light" panose="020B0502040204020203" pitchFamily="34" charset="0"/>
            </a:rPr>
            <a:t>vs Previous</a:t>
          </a:r>
          <a:r>
            <a:rPr lang="en-US" sz="800" kern="1200" baseline="0">
              <a:latin typeface="Bahnschrift Light" panose="020B0502040204020203" pitchFamily="34" charset="0"/>
            </a:rPr>
            <a:t> Quarter</a:t>
          </a:r>
          <a:endParaRPr lang="en-US" sz="800" kern="1200">
            <a:latin typeface="Bahnschrift Light" panose="020B0502040204020203" pitchFamily="34" charset="0"/>
          </a:endParaRPr>
        </a:p>
      </xdr:txBody>
    </xdr:sp>
    <xdr:clientData/>
  </xdr:twoCellAnchor>
  <xdr:twoCellAnchor editAs="absolute">
    <xdr:from>
      <xdr:col>4</xdr:col>
      <xdr:colOff>433112</xdr:colOff>
      <xdr:row>4</xdr:row>
      <xdr:rowOff>102611</xdr:rowOff>
    </xdr:from>
    <xdr:to>
      <xdr:col>7</xdr:col>
      <xdr:colOff>224301</xdr:colOff>
      <xdr:row>15</xdr:row>
      <xdr:rowOff>79755</xdr:rowOff>
    </xdr:to>
    <mc:AlternateContent xmlns:mc="http://schemas.openxmlformats.org/markup-compatibility/2006" xmlns:a14="http://schemas.microsoft.com/office/drawing/2010/main">
      <mc:Choice Requires="a14">
        <xdr:graphicFrame macro="">
          <xdr:nvGraphicFramePr>
            <xdr:cNvPr id="36" name="Year-Quarter">
              <a:extLst>
                <a:ext uri="{FF2B5EF4-FFF2-40B4-BE49-F238E27FC236}">
                  <a16:creationId xmlns:a16="http://schemas.microsoft.com/office/drawing/2014/main" id="{91C8DF1E-C14D-4F47-B42D-B5447183902C}"/>
                </a:ext>
              </a:extLst>
            </xdr:cNvPr>
            <xdr:cNvGraphicFramePr/>
          </xdr:nvGraphicFramePr>
          <xdr:xfrm>
            <a:off x="0" y="0"/>
            <a:ext cx="0" cy="0"/>
          </xdr:xfrm>
          <a:graphic>
            <a:graphicData uri="http://schemas.microsoft.com/office/drawing/2010/slicer">
              <sle:slicer xmlns:sle="http://schemas.microsoft.com/office/drawing/2010/slicer" name="Year-Quarter"/>
            </a:graphicData>
          </a:graphic>
        </xdr:graphicFrame>
      </mc:Choice>
      <mc:Fallback xmlns="">
        <xdr:sp macro="" textlink="">
          <xdr:nvSpPr>
            <xdr:cNvPr id="0" name=""/>
            <xdr:cNvSpPr>
              <a:spLocks noTextEdit="1"/>
            </xdr:cNvSpPr>
          </xdr:nvSpPr>
          <xdr:spPr>
            <a:xfrm>
              <a:off x="9108031" y="1044869"/>
              <a:ext cx="1634738" cy="18923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3851247</xdr:colOff>
      <xdr:row>8</xdr:row>
      <xdr:rowOff>44331</xdr:rowOff>
    </xdr:from>
    <xdr:to>
      <xdr:col>3</xdr:col>
      <xdr:colOff>151769</xdr:colOff>
      <xdr:row>9</xdr:row>
      <xdr:rowOff>92520</xdr:rowOff>
    </xdr:to>
    <xdr:sp macro="" textlink="PivotTable!F6">
      <xdr:nvSpPr>
        <xdr:cNvPr id="39" name="TextBox 38">
          <a:extLst>
            <a:ext uri="{FF2B5EF4-FFF2-40B4-BE49-F238E27FC236}">
              <a16:creationId xmlns:a16="http://schemas.microsoft.com/office/drawing/2014/main" id="{37A17BEA-F4D4-44E8-8C95-36F6585E0B0A}"/>
            </a:ext>
          </a:extLst>
        </xdr:cNvPr>
        <xdr:cNvSpPr txBox="1"/>
      </xdr:nvSpPr>
      <xdr:spPr>
        <a:xfrm>
          <a:off x="5665533" y="1700770"/>
          <a:ext cx="674246" cy="22313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3B79929-B6A6-4157-9958-0DABAD757ED1}" type="TxLink">
            <a:rPr lang="en-US" sz="850" b="0" i="0" u="none" strike="noStrike" kern="1200">
              <a:solidFill>
                <a:srgbClr val="000000"/>
              </a:solidFill>
              <a:latin typeface="Bahnschrift Light" panose="020B0502040204020203" pitchFamily="34" charset="0"/>
              <a:ea typeface="Calibri"/>
              <a:cs typeface="Calibri"/>
            </a:rPr>
            <a:pPr marL="0" indent="0" algn="ctr"/>
            <a:t>96,0%</a:t>
          </a:fld>
          <a:endParaRPr lang="en-US" sz="850" b="0" i="0" u="none" strike="noStrike" kern="1200">
            <a:solidFill>
              <a:srgbClr val="000000"/>
            </a:solidFill>
            <a:latin typeface="Bahnschrift Light" panose="020B0502040204020203" pitchFamily="34" charset="0"/>
            <a:ea typeface="Calibri"/>
            <a:cs typeface="Calibri"/>
          </a:endParaRPr>
        </a:p>
      </xdr:txBody>
    </xdr:sp>
    <xdr:clientData/>
  </xdr:twoCellAnchor>
  <xdr:twoCellAnchor editAs="absolute">
    <xdr:from>
      <xdr:col>2</xdr:col>
      <xdr:colOff>3654963</xdr:colOff>
      <xdr:row>9</xdr:row>
      <xdr:rowOff>60496</xdr:rowOff>
    </xdr:from>
    <xdr:to>
      <xdr:col>3</xdr:col>
      <xdr:colOff>348054</xdr:colOff>
      <xdr:row>10</xdr:row>
      <xdr:rowOff>98204</xdr:rowOff>
    </xdr:to>
    <xdr:sp macro="" textlink="">
      <xdr:nvSpPr>
        <xdr:cNvPr id="40" name="TextBox 39">
          <a:extLst>
            <a:ext uri="{FF2B5EF4-FFF2-40B4-BE49-F238E27FC236}">
              <a16:creationId xmlns:a16="http://schemas.microsoft.com/office/drawing/2014/main" id="{42A9F728-5336-4FD9-B379-5E0B87E8DAC5}"/>
            </a:ext>
          </a:extLst>
        </xdr:cNvPr>
        <xdr:cNvSpPr txBox="1"/>
      </xdr:nvSpPr>
      <xdr:spPr>
        <a:xfrm>
          <a:off x="5471063" y="1900955"/>
          <a:ext cx="1068241" cy="2155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kern="1200">
              <a:latin typeface="Bahnschrift Light" panose="020B0502040204020203" pitchFamily="34" charset="0"/>
            </a:rPr>
            <a:t>From Total</a:t>
          </a:r>
          <a:r>
            <a:rPr lang="en-US" sz="800" kern="1200" baseline="0">
              <a:latin typeface="Bahnschrift Light" panose="020B0502040204020203" pitchFamily="34" charset="0"/>
            </a:rPr>
            <a:t> Product</a:t>
          </a:r>
          <a:endParaRPr lang="en-US" sz="800" kern="1200">
            <a:latin typeface="Bahnschrift Light" panose="020B0502040204020203" pitchFamily="34" charset="0"/>
          </a:endParaRPr>
        </a:p>
      </xdr:txBody>
    </xdr:sp>
    <xdr:clientData/>
  </xdr:twoCellAnchor>
  <xdr:twoCellAnchor editAs="absolute">
    <xdr:from>
      <xdr:col>3</xdr:col>
      <xdr:colOff>1523803</xdr:colOff>
      <xdr:row>8</xdr:row>
      <xdr:rowOff>44331</xdr:rowOff>
    </xdr:from>
    <xdr:to>
      <xdr:col>3</xdr:col>
      <xdr:colOff>2199475</xdr:colOff>
      <xdr:row>9</xdr:row>
      <xdr:rowOff>92088</xdr:rowOff>
    </xdr:to>
    <xdr:sp macro="" textlink="PivotTable!D6">
      <xdr:nvSpPr>
        <xdr:cNvPr id="41" name="TextBox 40">
          <a:extLst>
            <a:ext uri="{FF2B5EF4-FFF2-40B4-BE49-F238E27FC236}">
              <a16:creationId xmlns:a16="http://schemas.microsoft.com/office/drawing/2014/main" id="{9942C833-D375-4B8B-8CBC-07C859281410}"/>
            </a:ext>
          </a:extLst>
        </xdr:cNvPr>
        <xdr:cNvSpPr txBox="1"/>
      </xdr:nvSpPr>
      <xdr:spPr>
        <a:xfrm>
          <a:off x="7710517" y="1697314"/>
          <a:ext cx="675672" cy="22313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25978975-D55C-4BAF-8C9C-2D5580232C97}" type="TxLink">
            <a:rPr lang="en-US" sz="850" b="0" i="0" u="none" strike="noStrike" kern="1200">
              <a:solidFill>
                <a:srgbClr val="000000"/>
              </a:solidFill>
              <a:latin typeface="Bahnschrift Light" panose="020B0502040204020203" pitchFamily="34" charset="0"/>
              <a:ea typeface="Calibri"/>
              <a:cs typeface="Calibri"/>
            </a:rPr>
            <a:pPr marL="0" indent="0" algn="ctr"/>
            <a:t>65,3%</a:t>
          </a:fld>
          <a:endParaRPr lang="en-US" sz="850" b="0" i="0" u="none" strike="noStrike" kern="1200">
            <a:solidFill>
              <a:srgbClr val="000000"/>
            </a:solidFill>
            <a:latin typeface="Bahnschrift Light" panose="020B0502040204020203" pitchFamily="34" charset="0"/>
            <a:ea typeface="Calibri"/>
            <a:cs typeface="Calibri"/>
          </a:endParaRPr>
        </a:p>
      </xdr:txBody>
    </xdr:sp>
    <xdr:clientData/>
  </xdr:twoCellAnchor>
  <xdr:twoCellAnchor editAs="absolute">
    <xdr:from>
      <xdr:col>3</xdr:col>
      <xdr:colOff>1256281</xdr:colOff>
      <xdr:row>9</xdr:row>
      <xdr:rowOff>60496</xdr:rowOff>
    </xdr:from>
    <xdr:to>
      <xdr:col>3</xdr:col>
      <xdr:colOff>2466997</xdr:colOff>
      <xdr:row>10</xdr:row>
      <xdr:rowOff>98204</xdr:rowOff>
    </xdr:to>
    <xdr:sp macro="" textlink="">
      <xdr:nvSpPr>
        <xdr:cNvPr id="42" name="TextBox 41">
          <a:extLst>
            <a:ext uri="{FF2B5EF4-FFF2-40B4-BE49-F238E27FC236}">
              <a16:creationId xmlns:a16="http://schemas.microsoft.com/office/drawing/2014/main" id="{0CC0E9C2-D7FE-445F-8A81-0C415E406BC5}"/>
            </a:ext>
          </a:extLst>
        </xdr:cNvPr>
        <xdr:cNvSpPr txBox="1"/>
      </xdr:nvSpPr>
      <xdr:spPr>
        <a:xfrm>
          <a:off x="7447531" y="1900955"/>
          <a:ext cx="1210716" cy="2155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kern="1200">
              <a:latin typeface="Bahnschrift Light" panose="020B0502040204020203" pitchFamily="34" charset="0"/>
            </a:rPr>
            <a:t>From Total</a:t>
          </a:r>
          <a:r>
            <a:rPr lang="en-US" sz="800" kern="1200" baseline="0">
              <a:latin typeface="Bahnschrift Light" panose="020B0502040204020203" pitchFamily="34" charset="0"/>
            </a:rPr>
            <a:t> Customers</a:t>
          </a:r>
          <a:endParaRPr lang="en-US" sz="800" kern="1200">
            <a:latin typeface="Bahnschrift Light" panose="020B0502040204020203" pitchFamily="34" charset="0"/>
          </a:endParaRPr>
        </a:p>
      </xdr:txBody>
    </xdr:sp>
    <xdr:clientData/>
  </xdr:twoCellAnchor>
  <xdr:twoCellAnchor editAs="absolute">
    <xdr:from>
      <xdr:col>2</xdr:col>
      <xdr:colOff>3665349</xdr:colOff>
      <xdr:row>11</xdr:row>
      <xdr:rowOff>11067</xdr:rowOff>
    </xdr:from>
    <xdr:to>
      <xdr:col>4</xdr:col>
      <xdr:colOff>336134</xdr:colOff>
      <xdr:row>23</xdr:row>
      <xdr:rowOff>127876</xdr:rowOff>
    </xdr:to>
    <xdr:graphicFrame macro="">
      <xdr:nvGraphicFramePr>
        <xdr:cNvPr id="43" name="Chart 42">
          <a:extLst>
            <a:ext uri="{FF2B5EF4-FFF2-40B4-BE49-F238E27FC236}">
              <a16:creationId xmlns:a16="http://schemas.microsoft.com/office/drawing/2014/main" id="{BCB9258C-D54D-4FFF-8EA8-76F1EDBD4D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33420</xdr:colOff>
      <xdr:row>24</xdr:row>
      <xdr:rowOff>37804</xdr:rowOff>
    </xdr:from>
    <xdr:to>
      <xdr:col>2</xdr:col>
      <xdr:colOff>3368841</xdr:colOff>
      <xdr:row>36</xdr:row>
      <xdr:rowOff>161297</xdr:rowOff>
    </xdr:to>
    <xdr:graphicFrame macro="">
      <xdr:nvGraphicFramePr>
        <xdr:cNvPr id="44" name="Chart 43">
          <a:extLst>
            <a:ext uri="{FF2B5EF4-FFF2-40B4-BE49-F238E27FC236}">
              <a16:creationId xmlns:a16="http://schemas.microsoft.com/office/drawing/2014/main" id="{3A4D10E4-3DDA-4939-9208-93A16ED154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3751076</xdr:colOff>
      <xdr:row>24</xdr:row>
      <xdr:rowOff>40689</xdr:rowOff>
    </xdr:from>
    <xdr:to>
      <xdr:col>4</xdr:col>
      <xdr:colOff>89018</xdr:colOff>
      <xdr:row>36</xdr:row>
      <xdr:rowOff>114042</xdr:rowOff>
    </xdr:to>
    <xdr:graphicFrame macro="">
      <xdr:nvGraphicFramePr>
        <xdr:cNvPr id="45" name="Chart 44">
          <a:extLst>
            <a:ext uri="{FF2B5EF4-FFF2-40B4-BE49-F238E27FC236}">
              <a16:creationId xmlns:a16="http://schemas.microsoft.com/office/drawing/2014/main" id="{A2A19B1C-3F63-466D-ACB3-948ADBE0A1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4</xdr:col>
      <xdr:colOff>433760</xdr:colOff>
      <xdr:row>26</xdr:row>
      <xdr:rowOff>130794</xdr:rowOff>
    </xdr:from>
    <xdr:to>
      <xdr:col>7</xdr:col>
      <xdr:colOff>218329</xdr:colOff>
      <xdr:row>36</xdr:row>
      <xdr:rowOff>147240</xdr:rowOff>
    </xdr:to>
    <mc:AlternateContent xmlns:mc="http://schemas.openxmlformats.org/markup-compatibility/2006" xmlns:a14="http://schemas.microsoft.com/office/drawing/2010/main">
      <mc:Choice Requires="a14">
        <xdr:graphicFrame macro="">
          <xdr:nvGraphicFramePr>
            <xdr:cNvPr id="46" name="Region">
              <a:extLst>
                <a:ext uri="{FF2B5EF4-FFF2-40B4-BE49-F238E27FC236}">
                  <a16:creationId xmlns:a16="http://schemas.microsoft.com/office/drawing/2014/main" id="{8F30002E-6328-4C89-823D-EA3C2AA82A3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108679" y="4903536"/>
              <a:ext cx="1628118" cy="17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10</xdr:row>
          <xdr:rowOff>95250</xdr:rowOff>
        </xdr:from>
        <xdr:to>
          <xdr:col>14</xdr:col>
          <xdr:colOff>0</xdr:colOff>
          <xdr:row>12</xdr:row>
          <xdr:rowOff>107950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Data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6350</xdr:colOff>
          <xdr:row>16</xdr:row>
          <xdr:rowOff>101600</xdr:rowOff>
        </xdr:from>
        <xdr:to>
          <xdr:col>7</xdr:col>
          <xdr:colOff>603250</xdr:colOff>
          <xdr:row>18</xdr:row>
          <xdr:rowOff>120650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Data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16</xdr:row>
          <xdr:rowOff>101600</xdr:rowOff>
        </xdr:from>
        <xdr:to>
          <xdr:col>12</xdr:col>
          <xdr:colOff>603250</xdr:colOff>
          <xdr:row>18</xdr:row>
          <xdr:rowOff>120650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5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Data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6350</xdr:colOff>
          <xdr:row>16</xdr:row>
          <xdr:rowOff>101600</xdr:rowOff>
        </xdr:from>
        <xdr:to>
          <xdr:col>17</xdr:col>
          <xdr:colOff>603250</xdr:colOff>
          <xdr:row>18</xdr:row>
          <xdr:rowOff>120650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Data Here</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zriel Akbar A." refreshedDate="45609.635128472219" backgroundQuery="1" createdVersion="8" refreshedVersion="8" minRefreshableVersion="3" recordCount="0" supportSubquery="1" supportAdvancedDrill="1" xr:uid="{CF813001-DBE6-44A0-AF6C-697D2972354E}">
  <cacheSource type="external" connectionId="1"/>
  <cacheFields count="7">
    <cacheField name="[Measures].[Sum of Revenue]" caption="Sum of Revenue" numFmtId="0" hierarchy="27" level="32767"/>
    <cacheField name="[Measures].[Sum of QuantitySold]" caption="Sum of QuantitySold" numFmtId="0" hierarchy="26" level="32767"/>
    <cacheField name="[SalesData].[Year-Quarter].[Year-Quarter]" caption="Year-Quarter" numFmtId="0" hierarchy="20" level="1">
      <sharedItems containsSemiMixedTypes="0" containsNonDate="0" containsString="0"/>
    </cacheField>
    <cacheField name="[SalesData].[DateOfPurchase (Year)].[DateOfPurchase (Year)]" caption="DateOfPurchase (Year)" numFmtId="0" hierarchy="19" level="1">
      <sharedItems count="1">
        <s v="2024"/>
      </sharedItems>
    </cacheField>
    <cacheField name="[SalesData].[DateOfPurchase (Quarter)].[DateOfPurchase (Quarter)]" caption="DateOfPurchase (Quarter)" numFmtId="0" hierarchy="18" level="1">
      <sharedItems count="4">
        <s v="Q1"/>
        <s v="Q2"/>
        <s v="Q3"/>
        <s v="Q4"/>
      </sharedItems>
    </cacheField>
    <cacheField name="[CustomerData].[Region].[Region]" caption="Region" numFmtId="0" hierarchy="3" level="1">
      <sharedItems containsSemiMixedTypes="0" containsNonDate="0" containsString="0"/>
    </cacheField>
    <cacheField name="[ProductData].[ProductCategory].[ProductCategory]" caption="ProductCategory" numFmtId="0" hierarchy="7" level="1">
      <sharedItems containsSemiMixedTypes="0" containsNonDate="0" containsString="0"/>
    </cacheField>
  </cacheFields>
  <cacheHierarchies count="37">
    <cacheHierarchy uniqueName="[CustomerData].[CustomerID]" caption="CustomerID" attribute="1" defaultMemberUniqueName="[CustomerData].[CustomerID].[All]" allUniqueName="[CustomerData].[CustomerID].[All]" dimensionUniqueName="[CustomerData]" displayFolder="" count="0" memberValueDatatype="130" unbalanced="0"/>
    <cacheHierarchy uniqueName="[CustomerData].[Name]" caption="Name" attribute="1" defaultMemberUniqueName="[CustomerData].[Name].[All]" allUniqueName="[CustomerData].[Name].[All]" dimensionUniqueName="[CustomerData]" displayFolder="" count="0" memberValueDatatype="130" unbalanced="0"/>
    <cacheHierarchy uniqueName="[CustomerData].[Age]" caption="Age" attribute="1" defaultMemberUniqueName="[CustomerData].[Age].[All]" allUniqueName="[CustomerData].[Age].[All]" dimensionUniqueName="[CustomerData]" displayFolder="" count="0" memberValueDatatype="20" unbalanced="0"/>
    <cacheHierarchy uniqueName="[CustomerData].[Region]" caption="Region" attribute="1" defaultMemberUniqueName="[CustomerData].[Region].[All]" allUniqueName="[CustomerData].[Region].[All]" dimensionUniqueName="[CustomerData]" displayFolder="" count="2" memberValueDatatype="130" unbalanced="0">
      <fieldsUsage count="2">
        <fieldUsage x="-1"/>
        <fieldUsage x="5"/>
      </fieldsUsage>
    </cacheHierarchy>
    <cacheHierarchy uniqueName="[CustomerData].[MembershipLevel]" caption="MembershipLevel" attribute="1" defaultMemberUniqueName="[CustomerData].[MembershipLevel].[All]" allUniqueName="[CustomerData].[MembershipLevel].[All]" dimensionUniqueName="[CustomerData]" displayFolder="" count="0" memberValueDatatype="130" unbalanced="0"/>
    <cacheHierarchy uniqueName="[CustomerData].[AgeCategory]" caption="AgeCategory" attribute="1" defaultMemberUniqueName="[CustomerData].[AgeCategory].[All]" allUniqueName="[CustomerData].[AgeCategory].[All]" dimensionUniqueName="[CustomerData]" displayFolder="" count="0" memberValueDatatype="130" unbalanced="0"/>
    <cacheHierarchy uniqueName="[ProductData].[ProductID]" caption="ProductID" attribute="1" defaultMemberUniqueName="[ProductData].[ProductID].[All]" allUniqueName="[ProductData].[ProductID].[All]" dimensionUniqueName="[ProductData]" displayFolder="" count="0" memberValueDatatype="130" unbalanced="0"/>
    <cacheHierarchy uniqueName="[ProductData].[ProductCategory]" caption="ProductCategory" attribute="1" defaultMemberUniqueName="[ProductData].[ProductCategory].[All]" allUniqueName="[ProductData].[ProductCategory].[All]" dimensionUniqueName="[ProductData]" displayFolder="" count="2" memberValueDatatype="130" unbalanced="0">
      <fieldsUsage count="2">
        <fieldUsage x="-1"/>
        <fieldUsage x="6"/>
      </fieldsUsage>
    </cacheHierarchy>
    <cacheHierarchy uniqueName="[ProductData].[Supplier]" caption="Supplier" attribute="1" defaultMemberUniqueName="[ProductData].[Supplier].[All]" allUniqueName="[ProductData].[Supplier].[All]" dimensionUniqueName="[ProductData]" displayFolder="" count="0" memberValueDatatype="130" unbalanced="0"/>
    <cacheHierarchy uniqueName="[ProductData].[ProductCost]" caption="ProductCost" attribute="1" defaultMemberUniqueName="[ProductData].[ProductCost].[All]" allUniqueName="[ProductData].[ProductCost].[All]" dimensionUniqueName="[ProductData]" displayFolder="" count="0" memberValueDatatype="5" unbalanced="0"/>
    <cacheHierarchy uniqueName="[SalesData].[OrderID]" caption="OrderID" attribute="1" defaultMemberUniqueName="[SalesData].[OrderID].[All]" allUniqueName="[SalesData].[OrderID].[All]" dimensionUniqueName="[SalesData]" displayFolder="" count="0" memberValueDatatype="130" unbalanced="0"/>
    <cacheHierarchy uniqueName="[SalesData].[ProductID]" caption="ProductID" attribute="1" defaultMemberUniqueName="[SalesData].[ProductID].[All]" allUniqueName="[SalesData].[ProductID].[All]" dimensionUniqueName="[SalesData]" displayFolder="" count="0" memberValueDatatype="130" unbalanced="0"/>
    <cacheHierarchy uniqueName="[SalesData].[CustomerID]" caption="CustomerID" attribute="1" defaultMemberUniqueName="[SalesData].[CustomerID].[All]" allUniqueName="[SalesData].[CustomerID].[All]" dimensionUniqueName="[SalesData]" displayFolder="" count="0" memberValueDatatype="130" unbalanced="0"/>
    <cacheHierarchy uniqueName="[SalesData].[DateOfPurchase]" caption="DateOfPurchase" attribute="1" time="1" defaultMemberUniqueName="[SalesData].[DateOfPurchase].[All]" allUniqueName="[SalesData].[DateOfPurchase].[All]" dimensionUniqueName="[SalesData]" displayFolder="" count="0" memberValueDatatype="7" unbalanced="0"/>
    <cacheHierarchy uniqueName="[SalesData].[QuantitySold]" caption="QuantitySold" attribute="1" defaultMemberUniqueName="[SalesData].[QuantitySold].[All]" allUniqueName="[SalesData].[QuantitySold].[All]" dimensionUniqueName="[SalesData]" displayFolder="" count="0" memberValueDatatype="20" unbalanced="0"/>
    <cacheHierarchy uniqueName="[SalesData].[Price]" caption="Price" attribute="1" defaultMemberUniqueName="[SalesData].[Price].[All]" allUniqueName="[SalesData].[Price].[All]" dimensionUniqueName="[SalesData]" displayFolder="" count="0" memberValueDatatype="5" unbalanced="0"/>
    <cacheHierarchy uniqueName="[SalesData].[Revenue]" caption="Revenue" attribute="1" defaultMemberUniqueName="[SalesData].[Revenue].[All]" allUniqueName="[SalesData].[Revenue].[All]" dimensionUniqueName="[SalesData]" displayFolder="" count="0" memberValueDatatype="5" unbalanced="0"/>
    <cacheHierarchy uniqueName="[SalesData].[DateOfPurchase (Month)]" caption="DateOfPurchase (Month)" attribute="1" defaultMemberUniqueName="[SalesData].[DateOfPurchase (Month)].[All]" allUniqueName="[SalesData].[DateOfPurchase (Month)].[All]" dimensionUniqueName="[SalesData]" displayFolder="" count="0" memberValueDatatype="130" unbalanced="0"/>
    <cacheHierarchy uniqueName="[SalesData].[DateOfPurchase (Quarter)]" caption="DateOfPurchase (Quarter)" attribute="1" defaultMemberUniqueName="[SalesData].[DateOfPurchase (Quarter)].[All]" allUniqueName="[SalesData].[DateOfPurchase (Quarter)].[All]" dimensionUniqueName="[SalesData]" displayFolder="" count="2" memberValueDatatype="130" unbalanced="0">
      <fieldsUsage count="2">
        <fieldUsage x="-1"/>
        <fieldUsage x="4"/>
      </fieldsUsage>
    </cacheHierarchy>
    <cacheHierarchy uniqueName="[SalesData].[DateOfPurchase (Year)]" caption="DateOfPurchase (Year)" attribute="1" defaultMemberUniqueName="[SalesData].[DateOfPurchase (Year)].[All]" allUniqueName="[SalesData].[DateOfPurchase (Year)].[All]" dimensionUniqueName="[SalesData]" displayFolder="" count="2" memberValueDatatype="130" unbalanced="0">
      <fieldsUsage count="2">
        <fieldUsage x="-1"/>
        <fieldUsage x="3"/>
      </fieldsUsage>
    </cacheHierarchy>
    <cacheHierarchy uniqueName="[SalesData].[Year-Quarter]" caption="Year-Quarter" attribute="1" defaultMemberUniqueName="[SalesData].[Year-Quarter].[All]" allUniqueName="[SalesData].[Year-Quarter].[All]" dimensionUniqueName="[SalesData]" displayFolder="" count="2" memberValueDatatype="130" unbalanced="0">
      <fieldsUsage count="2">
        <fieldUsage x="-1"/>
        <fieldUsage x="2"/>
      </fieldsUsage>
    </cacheHierarchy>
    <cacheHierarchy uniqueName="[SalesData].[DateOfPurchase (Month Index)]" caption="DateOfPurchase (Month Index)" attribute="1" defaultMemberUniqueName="[SalesData].[DateOfPurchase (Month Index)].[All]" allUniqueName="[SalesData].[DateOfPurchase (Month Index)].[All]" dimensionUniqueName="[SalesData]" displayFolder="" count="0" memberValueDatatype="20" unbalanced="0" hidden="1"/>
    <cacheHierarchy uniqueName="[Measures].[__XL_Count Table2]" caption="__XL_Count Table2" measure="1" displayFolder="" measureGroup="CustomerData" count="0" hidden="1"/>
    <cacheHierarchy uniqueName="[Measures].[__XL_Count Table2_2]" caption="__XL_Count Table2_2" measure="1" displayFolder="" measureGroup="SalesData" count="0" hidden="1"/>
    <cacheHierarchy uniqueName="[Measures].[__XL_Count Table2_1]" caption="__XL_Count Table2_1" measure="1" displayFolder="" measureGroup="ProductData" count="0" hidden="1"/>
    <cacheHierarchy uniqueName="[Measures].[__No measures defined]" caption="__No measures defined" measure="1" displayFolder="" count="0" hidden="1"/>
    <cacheHierarchy uniqueName="[Measures].[Sum of QuantitySold]" caption="Sum of QuantitySold" measure="1" displayFolder="" measureGroup="Sales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Revenue]" caption="Sum of Revenue" measure="1" displayFolder="" measureGroup="SalesData" count="0" oneField="1" hidden="1">
      <fieldsUsage count="1">
        <fieldUsage x="0"/>
      </fieldsUsage>
      <extLst>
        <ext xmlns:x15="http://schemas.microsoft.com/office/spreadsheetml/2010/11/main" uri="{B97F6D7D-B522-45F9-BDA1-12C45D357490}">
          <x15:cacheHierarchy aggregatedColumn="16"/>
        </ext>
      </extLst>
    </cacheHierarchy>
    <cacheHierarchy uniqueName="[Measures].[Count of ProductID]" caption="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Distinct Count of ProductID]" caption="Distinct 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Count of ProductID 2]" caption="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Distinct Count of ProductID 2]" caption="Distinct 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Count of CustomerID]" caption="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SalesData" count="0" hidden="1">
      <extLst>
        <ext xmlns:x15="http://schemas.microsoft.com/office/spreadsheetml/2010/11/main" uri="{B97F6D7D-B522-45F9-BDA1-12C45D357490}">
          <x15:cacheHierarchy aggregatedColumn="16"/>
        </ext>
      </extLst>
    </cacheHierarchy>
    <cacheHierarchy uniqueName="[Measures].[Count of CustomerID 2]" caption="Count of CustomerID 2" measure="1" displayFolder="" measureGroup="CustomerData" count="0" hidden="1">
      <extLst>
        <ext xmlns:x15="http://schemas.microsoft.com/office/spreadsheetml/2010/11/main" uri="{B97F6D7D-B522-45F9-BDA1-12C45D357490}">
          <x15:cacheHierarchy aggregatedColumn="0"/>
        </ext>
      </extLst>
    </cacheHierarchy>
    <cacheHierarchy uniqueName="[Measures].[Count of ProductCategory]" caption="Count of ProductCategory" measure="1" displayFolder="" measureGroup="ProductData" count="0" hidden="1">
      <extLst>
        <ext xmlns:x15="http://schemas.microsoft.com/office/spreadsheetml/2010/11/main" uri="{B97F6D7D-B522-45F9-BDA1-12C45D357490}">
          <x15:cacheHierarchy aggregatedColumn="7"/>
        </ext>
      </extLst>
    </cacheHierarchy>
  </cacheHierarchies>
  <kpis count="0"/>
  <dimensions count="4">
    <dimension name="CustomerData" uniqueName="[CustomerData]" caption="CustomerData"/>
    <dimension measure="1" name="Measures" uniqueName="[Measures]" caption="Measures"/>
    <dimension name="ProductData" uniqueName="[ProductData]" caption="ProductData"/>
    <dimension name="SalesData" uniqueName="[SalesData]" caption="SalesData"/>
  </dimensions>
  <measureGroups count="3">
    <measureGroup name="CustomerData" caption="CustomerData"/>
    <measureGroup name="ProductData" caption="ProductData"/>
    <measureGroup name="SalesData" caption="SalesData"/>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zriel Akbar A." refreshedDate="45609.63512939815" backgroundQuery="1" createdVersion="8" refreshedVersion="8" minRefreshableVersion="3" recordCount="0" supportSubquery="1" supportAdvancedDrill="1" xr:uid="{57F33B93-2D48-4F9F-8E5E-785AE183D4DA}">
  <cacheSource type="external" connectionId="1"/>
  <cacheFields count="5">
    <cacheField name="[SalesData].[Year-Quarter].[Year-Quarter]" caption="Year-Quarter" numFmtId="0" hierarchy="20" level="1">
      <sharedItems count="4">
        <s v="2024-Q1"/>
        <s v="2024-Q2"/>
        <s v="2024-Q3"/>
        <s v="2024-Q4"/>
      </sharedItems>
    </cacheField>
    <cacheField name="[Measures].[Sum of Revenue]" caption="Sum of Revenue" numFmtId="0" hierarchy="27" level="32767"/>
    <cacheField name="[Measures].[Sum of QuantitySold]" caption="Sum of QuantitySold" numFmtId="0" hierarchy="26" level="32767"/>
    <cacheField name="[CustomerData].[Region].[Region]" caption="Region" numFmtId="0" hierarchy="3" level="1">
      <sharedItems containsSemiMixedTypes="0" containsNonDate="0" containsString="0"/>
    </cacheField>
    <cacheField name="[ProductData].[ProductCategory].[ProductCategory]" caption="ProductCategory" numFmtId="0" hierarchy="7" level="1">
      <sharedItems containsSemiMixedTypes="0" containsNonDate="0" containsString="0"/>
    </cacheField>
  </cacheFields>
  <cacheHierarchies count="37">
    <cacheHierarchy uniqueName="[CustomerData].[CustomerID]" caption="CustomerID" attribute="1" defaultMemberUniqueName="[CustomerData].[CustomerID].[All]" allUniqueName="[CustomerData].[CustomerID].[All]" dimensionUniqueName="[CustomerData]" displayFolder="" count="0" memberValueDatatype="130" unbalanced="0"/>
    <cacheHierarchy uniqueName="[CustomerData].[Name]" caption="Name" attribute="1" defaultMemberUniqueName="[CustomerData].[Name].[All]" allUniqueName="[CustomerData].[Name].[All]" dimensionUniqueName="[CustomerData]" displayFolder="" count="0" memberValueDatatype="130" unbalanced="0"/>
    <cacheHierarchy uniqueName="[CustomerData].[Age]" caption="Age" attribute="1" defaultMemberUniqueName="[CustomerData].[Age].[All]" allUniqueName="[CustomerData].[Age].[All]" dimensionUniqueName="[CustomerData]" displayFolder="" count="0" memberValueDatatype="20" unbalanced="0"/>
    <cacheHierarchy uniqueName="[CustomerData].[Region]" caption="Region" attribute="1" defaultMemberUniqueName="[CustomerData].[Region].[All]" allUniqueName="[CustomerData].[Region].[All]" dimensionUniqueName="[CustomerData]" displayFolder="" count="2" memberValueDatatype="130" unbalanced="0">
      <fieldsUsage count="2">
        <fieldUsage x="-1"/>
        <fieldUsage x="3"/>
      </fieldsUsage>
    </cacheHierarchy>
    <cacheHierarchy uniqueName="[CustomerData].[MembershipLevel]" caption="MembershipLevel" attribute="1" defaultMemberUniqueName="[CustomerData].[MembershipLevel].[All]" allUniqueName="[CustomerData].[MembershipLevel].[All]" dimensionUniqueName="[CustomerData]" displayFolder="" count="0" memberValueDatatype="130" unbalanced="0"/>
    <cacheHierarchy uniqueName="[CustomerData].[AgeCategory]" caption="AgeCategory" attribute="1" defaultMemberUniqueName="[CustomerData].[AgeCategory].[All]" allUniqueName="[CustomerData].[AgeCategory].[All]" dimensionUniqueName="[CustomerData]" displayFolder="" count="0" memberValueDatatype="130" unbalanced="0"/>
    <cacheHierarchy uniqueName="[ProductData].[ProductID]" caption="ProductID" attribute="1" defaultMemberUniqueName="[ProductData].[ProductID].[All]" allUniqueName="[ProductData].[ProductID].[All]" dimensionUniqueName="[ProductData]" displayFolder="" count="0" memberValueDatatype="130" unbalanced="0"/>
    <cacheHierarchy uniqueName="[ProductData].[ProductCategory]" caption="ProductCategory" attribute="1" defaultMemberUniqueName="[ProductData].[ProductCategory].[All]" allUniqueName="[ProductData].[ProductCategory].[All]" dimensionUniqueName="[ProductData]" displayFolder="" count="2" memberValueDatatype="130" unbalanced="0">
      <fieldsUsage count="2">
        <fieldUsage x="-1"/>
        <fieldUsage x="4"/>
      </fieldsUsage>
    </cacheHierarchy>
    <cacheHierarchy uniqueName="[ProductData].[Supplier]" caption="Supplier" attribute="1" defaultMemberUniqueName="[ProductData].[Supplier].[All]" allUniqueName="[ProductData].[Supplier].[All]" dimensionUniqueName="[ProductData]" displayFolder="" count="0" memberValueDatatype="130" unbalanced="0"/>
    <cacheHierarchy uniqueName="[ProductData].[ProductCost]" caption="ProductCost" attribute="1" defaultMemberUniqueName="[ProductData].[ProductCost].[All]" allUniqueName="[ProductData].[ProductCost].[All]" dimensionUniqueName="[ProductData]" displayFolder="" count="0" memberValueDatatype="5" unbalanced="0"/>
    <cacheHierarchy uniqueName="[SalesData].[OrderID]" caption="OrderID" attribute="1" defaultMemberUniqueName="[SalesData].[OrderID].[All]" allUniqueName="[SalesData].[OrderID].[All]" dimensionUniqueName="[SalesData]" displayFolder="" count="0" memberValueDatatype="130" unbalanced="0"/>
    <cacheHierarchy uniqueName="[SalesData].[ProductID]" caption="ProductID" attribute="1" defaultMemberUniqueName="[SalesData].[ProductID].[All]" allUniqueName="[SalesData].[ProductID].[All]" dimensionUniqueName="[SalesData]" displayFolder="" count="0" memberValueDatatype="130" unbalanced="0"/>
    <cacheHierarchy uniqueName="[SalesData].[CustomerID]" caption="CustomerID" attribute="1" defaultMemberUniqueName="[SalesData].[CustomerID].[All]" allUniqueName="[SalesData].[CustomerID].[All]" dimensionUniqueName="[SalesData]" displayFolder="" count="0" memberValueDatatype="130" unbalanced="0"/>
    <cacheHierarchy uniqueName="[SalesData].[DateOfPurchase]" caption="DateOfPurchase" attribute="1" time="1" defaultMemberUniqueName="[SalesData].[DateOfPurchase].[All]" allUniqueName="[SalesData].[DateOfPurchase].[All]" dimensionUniqueName="[SalesData]" displayFolder="" count="0" memberValueDatatype="7" unbalanced="0"/>
    <cacheHierarchy uniqueName="[SalesData].[QuantitySold]" caption="QuantitySold" attribute="1" defaultMemberUniqueName="[SalesData].[QuantitySold].[All]" allUniqueName="[SalesData].[QuantitySold].[All]" dimensionUniqueName="[SalesData]" displayFolder="" count="0" memberValueDatatype="20" unbalanced="0"/>
    <cacheHierarchy uniqueName="[SalesData].[Price]" caption="Price" attribute="1" defaultMemberUniqueName="[SalesData].[Price].[All]" allUniqueName="[SalesData].[Price].[All]" dimensionUniqueName="[SalesData]" displayFolder="" count="0" memberValueDatatype="5" unbalanced="0"/>
    <cacheHierarchy uniqueName="[SalesData].[Revenue]" caption="Revenue" attribute="1" defaultMemberUniqueName="[SalesData].[Revenue].[All]" allUniqueName="[SalesData].[Revenue].[All]" dimensionUniqueName="[SalesData]" displayFolder="" count="0" memberValueDatatype="5" unbalanced="0"/>
    <cacheHierarchy uniqueName="[SalesData].[DateOfPurchase (Month)]" caption="DateOfPurchase (Month)" attribute="1" defaultMemberUniqueName="[SalesData].[DateOfPurchase (Month)].[All]" allUniqueName="[SalesData].[DateOfPurchase (Month)].[All]" dimensionUniqueName="[SalesData]" displayFolder="" count="0" memberValueDatatype="130" unbalanced="0"/>
    <cacheHierarchy uniqueName="[SalesData].[DateOfPurchase (Quarter)]" caption="DateOfPurchase (Quarter)" attribute="1" defaultMemberUniqueName="[SalesData].[DateOfPurchase (Quarter)].[All]" allUniqueName="[SalesData].[DateOfPurchase (Quarter)].[All]" dimensionUniqueName="[SalesData]" displayFolder="" count="0" memberValueDatatype="130" unbalanced="0"/>
    <cacheHierarchy uniqueName="[SalesData].[DateOfPurchase (Year)]" caption="DateOfPurchase (Year)" attribute="1" defaultMemberUniqueName="[SalesData].[DateOfPurchase (Year)].[All]" allUniqueName="[SalesData].[DateOfPurchase (Year)].[All]" dimensionUniqueName="[SalesData]" displayFolder="" count="0" memberValueDatatype="130" unbalanced="0"/>
    <cacheHierarchy uniqueName="[SalesData].[Year-Quarter]" caption="Year-Quarter" attribute="1" defaultMemberUniqueName="[SalesData].[Year-Quarter].[All]" allUniqueName="[SalesData].[Year-Quarter].[All]" dimensionUniqueName="[SalesData]" displayFolder="" count="2" memberValueDatatype="130" unbalanced="0">
      <fieldsUsage count="2">
        <fieldUsage x="-1"/>
        <fieldUsage x="0"/>
      </fieldsUsage>
    </cacheHierarchy>
    <cacheHierarchy uniqueName="[SalesData].[DateOfPurchase (Month Index)]" caption="DateOfPurchase (Month Index)" attribute="1" defaultMemberUniqueName="[SalesData].[DateOfPurchase (Month Index)].[All]" allUniqueName="[SalesData].[DateOfPurchase (Month Index)].[All]" dimensionUniqueName="[SalesData]" displayFolder="" count="0" memberValueDatatype="20" unbalanced="0" hidden="1"/>
    <cacheHierarchy uniqueName="[Measures].[__XL_Count Table2]" caption="__XL_Count Table2" measure="1" displayFolder="" measureGroup="CustomerData" count="0" hidden="1"/>
    <cacheHierarchy uniqueName="[Measures].[__XL_Count Table2_2]" caption="__XL_Count Table2_2" measure="1" displayFolder="" measureGroup="SalesData" count="0" hidden="1"/>
    <cacheHierarchy uniqueName="[Measures].[__XL_Count Table2_1]" caption="__XL_Count Table2_1" measure="1" displayFolder="" measureGroup="ProductData" count="0" hidden="1"/>
    <cacheHierarchy uniqueName="[Measures].[__No measures defined]" caption="__No measures defined" measure="1" displayFolder="" count="0" hidden="1"/>
    <cacheHierarchy uniqueName="[Measures].[Sum of QuantitySold]" caption="Sum of QuantitySold" measure="1" displayFolder="" measureGroup="SalesData" count="0" oneField="1" hidden="1">
      <fieldsUsage count="1">
        <fieldUsage x="2"/>
      </fieldsUsage>
      <extLst>
        <ext xmlns:x15="http://schemas.microsoft.com/office/spreadsheetml/2010/11/main" uri="{B97F6D7D-B522-45F9-BDA1-12C45D357490}">
          <x15:cacheHierarchy aggregatedColumn="14"/>
        </ext>
      </extLst>
    </cacheHierarchy>
    <cacheHierarchy uniqueName="[Measures].[Sum of Revenue]" caption="Sum of Revenue" measure="1" displayFolder="" measureGroup="SalesData"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ProductID]" caption="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Distinct Count of ProductID]" caption="Distinct 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Count of ProductID 2]" caption="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Distinct Count of ProductID 2]" caption="Distinct 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Count of CustomerID]" caption="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SalesData" count="0" hidden="1">
      <extLst>
        <ext xmlns:x15="http://schemas.microsoft.com/office/spreadsheetml/2010/11/main" uri="{B97F6D7D-B522-45F9-BDA1-12C45D357490}">
          <x15:cacheHierarchy aggregatedColumn="16"/>
        </ext>
      </extLst>
    </cacheHierarchy>
    <cacheHierarchy uniqueName="[Measures].[Count of CustomerID 2]" caption="Count of CustomerID 2" measure="1" displayFolder="" measureGroup="CustomerData" count="0" hidden="1">
      <extLst>
        <ext xmlns:x15="http://schemas.microsoft.com/office/spreadsheetml/2010/11/main" uri="{B97F6D7D-B522-45F9-BDA1-12C45D357490}">
          <x15:cacheHierarchy aggregatedColumn="0"/>
        </ext>
      </extLst>
    </cacheHierarchy>
    <cacheHierarchy uniqueName="[Measures].[Count of ProductCategory]" caption="Count of ProductCategory" measure="1" displayFolder="" measureGroup="ProductData" count="0" hidden="1">
      <extLst>
        <ext xmlns:x15="http://schemas.microsoft.com/office/spreadsheetml/2010/11/main" uri="{B97F6D7D-B522-45F9-BDA1-12C45D357490}">
          <x15:cacheHierarchy aggregatedColumn="7"/>
        </ext>
      </extLst>
    </cacheHierarchy>
  </cacheHierarchies>
  <kpis count="0"/>
  <dimensions count="4">
    <dimension name="CustomerData" uniqueName="[CustomerData]" caption="CustomerData"/>
    <dimension measure="1" name="Measures" uniqueName="[Measures]" caption="Measures"/>
    <dimension name="ProductData" uniqueName="[ProductData]" caption="ProductData"/>
    <dimension name="SalesData" uniqueName="[SalesData]" caption="SalesData"/>
  </dimensions>
  <measureGroups count="3">
    <measureGroup name="CustomerData" caption="CustomerData"/>
    <measureGroup name="ProductData" caption="ProductData"/>
    <measureGroup name="SalesData" caption="SalesData"/>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zriel Akbar A." refreshedDate="45609.635130208335" backgroundQuery="1" createdVersion="8" refreshedVersion="8" minRefreshableVersion="3" recordCount="0" supportSubquery="1" supportAdvancedDrill="1" xr:uid="{C9AD75F2-0CA5-47DC-9D75-E1CD89298F3F}">
  <cacheSource type="external" connectionId="1"/>
  <cacheFields count="6">
    <cacheField name="[ProductData].[ProductCategory].[ProductCategory]" caption="ProductCategory" numFmtId="0" hierarchy="7" level="1">
      <sharedItems count="5">
        <s v="Books"/>
        <s v="Clothing"/>
        <s v="Electronics"/>
        <s v="Home"/>
        <s v="Sports"/>
      </sharedItems>
    </cacheField>
    <cacheField name="[Measures].[Sum of QuantitySold]" caption="Sum of QuantitySold" numFmtId="0" hierarchy="26" level="32767"/>
    <cacheField name="[SalesData].[DateOfPurchase (Year)].[DateOfPurchase (Year)]" caption="DateOfPurchase (Year)" numFmtId="0" hierarchy="19" level="1">
      <sharedItems count="1">
        <s v="2024"/>
      </sharedItems>
    </cacheField>
    <cacheField name="[SalesData].[DateOfPurchase (Quarter)].[DateOfPurchase (Quarter)]" caption="DateOfPurchase (Quarter)" numFmtId="0" hierarchy="18" level="1">
      <sharedItems count="4">
        <s v="Q1"/>
        <s v="Q2"/>
        <s v="Q3"/>
        <s v="Q4"/>
      </sharedItems>
    </cacheField>
    <cacheField name="[CustomerData].[Region].[Region]" caption="Region" numFmtId="0" hierarchy="3" level="1">
      <sharedItems containsSemiMixedTypes="0" containsNonDate="0" containsString="0"/>
    </cacheField>
    <cacheField name="[SalesData].[Year-Quarter].[Year-Quarter]" caption="Year-Quarter" numFmtId="0" hierarchy="20" level="1">
      <sharedItems containsSemiMixedTypes="0" containsNonDate="0" containsString="0"/>
    </cacheField>
  </cacheFields>
  <cacheHierarchies count="37">
    <cacheHierarchy uniqueName="[CustomerData].[CustomerID]" caption="CustomerID" attribute="1" defaultMemberUniqueName="[CustomerData].[CustomerID].[All]" allUniqueName="[CustomerData].[CustomerID].[All]" dimensionUniqueName="[CustomerData]" displayFolder="" count="0" memberValueDatatype="130" unbalanced="0"/>
    <cacheHierarchy uniqueName="[CustomerData].[Name]" caption="Name" attribute="1" defaultMemberUniqueName="[CustomerData].[Name].[All]" allUniqueName="[CustomerData].[Name].[All]" dimensionUniqueName="[CustomerData]" displayFolder="" count="0" memberValueDatatype="130" unbalanced="0"/>
    <cacheHierarchy uniqueName="[CustomerData].[Age]" caption="Age" attribute="1" defaultMemberUniqueName="[CustomerData].[Age].[All]" allUniqueName="[CustomerData].[Age].[All]" dimensionUniqueName="[CustomerData]" displayFolder="" count="0" memberValueDatatype="20" unbalanced="0"/>
    <cacheHierarchy uniqueName="[CustomerData].[Region]" caption="Region" attribute="1" defaultMemberUniqueName="[CustomerData].[Region].[All]" allUniqueName="[CustomerData].[Region].[All]" dimensionUniqueName="[CustomerData]" displayFolder="" count="2" memberValueDatatype="130" unbalanced="0">
      <fieldsUsage count="2">
        <fieldUsage x="-1"/>
        <fieldUsage x="4"/>
      </fieldsUsage>
    </cacheHierarchy>
    <cacheHierarchy uniqueName="[CustomerData].[MembershipLevel]" caption="MembershipLevel" attribute="1" defaultMemberUniqueName="[CustomerData].[MembershipLevel].[All]" allUniqueName="[CustomerData].[MembershipLevel].[All]" dimensionUniqueName="[CustomerData]" displayFolder="" count="0" memberValueDatatype="130" unbalanced="0"/>
    <cacheHierarchy uniqueName="[CustomerData].[AgeCategory]" caption="AgeCategory" attribute="1" defaultMemberUniqueName="[CustomerData].[AgeCategory].[All]" allUniqueName="[CustomerData].[AgeCategory].[All]" dimensionUniqueName="[CustomerData]" displayFolder="" count="0" memberValueDatatype="130" unbalanced="0"/>
    <cacheHierarchy uniqueName="[ProductData].[ProductID]" caption="ProductID" attribute="1" defaultMemberUniqueName="[ProductData].[ProductID].[All]" allUniqueName="[ProductData].[ProductID].[All]" dimensionUniqueName="[ProductData]" displayFolder="" count="0" memberValueDatatype="130" unbalanced="0"/>
    <cacheHierarchy uniqueName="[ProductData].[ProductCategory]" caption="ProductCategory" attribute="1" defaultMemberUniqueName="[ProductData].[ProductCategory].[All]" allUniqueName="[ProductData].[ProductCategory].[All]" dimensionUniqueName="[ProductData]" displayFolder="" count="2" memberValueDatatype="130" unbalanced="0">
      <fieldsUsage count="2">
        <fieldUsage x="-1"/>
        <fieldUsage x="0"/>
      </fieldsUsage>
    </cacheHierarchy>
    <cacheHierarchy uniqueName="[ProductData].[Supplier]" caption="Supplier" attribute="1" defaultMemberUniqueName="[ProductData].[Supplier].[All]" allUniqueName="[ProductData].[Supplier].[All]" dimensionUniqueName="[ProductData]" displayFolder="" count="0" memberValueDatatype="130" unbalanced="0"/>
    <cacheHierarchy uniqueName="[ProductData].[ProductCost]" caption="ProductCost" attribute="1" defaultMemberUniqueName="[ProductData].[ProductCost].[All]" allUniqueName="[ProductData].[ProductCost].[All]" dimensionUniqueName="[ProductData]" displayFolder="" count="0" memberValueDatatype="5" unbalanced="0"/>
    <cacheHierarchy uniqueName="[SalesData].[OrderID]" caption="OrderID" attribute="1" defaultMemberUniqueName="[SalesData].[OrderID].[All]" allUniqueName="[SalesData].[OrderID].[All]" dimensionUniqueName="[SalesData]" displayFolder="" count="0" memberValueDatatype="130" unbalanced="0"/>
    <cacheHierarchy uniqueName="[SalesData].[ProductID]" caption="ProductID" attribute="1" defaultMemberUniqueName="[SalesData].[ProductID].[All]" allUniqueName="[SalesData].[ProductID].[All]" dimensionUniqueName="[SalesData]" displayFolder="" count="0" memberValueDatatype="130" unbalanced="0"/>
    <cacheHierarchy uniqueName="[SalesData].[CustomerID]" caption="CustomerID" attribute="1" defaultMemberUniqueName="[SalesData].[CustomerID].[All]" allUniqueName="[SalesData].[CustomerID].[All]" dimensionUniqueName="[SalesData]" displayFolder="" count="0" memberValueDatatype="130" unbalanced="0"/>
    <cacheHierarchy uniqueName="[SalesData].[DateOfPurchase]" caption="DateOfPurchase" attribute="1" time="1" defaultMemberUniqueName="[SalesData].[DateOfPurchase].[All]" allUniqueName="[SalesData].[DateOfPurchase].[All]" dimensionUniqueName="[SalesData]" displayFolder="" count="0" memberValueDatatype="7" unbalanced="0"/>
    <cacheHierarchy uniqueName="[SalesData].[QuantitySold]" caption="QuantitySold" attribute="1" defaultMemberUniqueName="[SalesData].[QuantitySold].[All]" allUniqueName="[SalesData].[QuantitySold].[All]" dimensionUniqueName="[SalesData]" displayFolder="" count="0" memberValueDatatype="20" unbalanced="0"/>
    <cacheHierarchy uniqueName="[SalesData].[Price]" caption="Price" attribute="1" defaultMemberUniqueName="[SalesData].[Price].[All]" allUniqueName="[SalesData].[Price].[All]" dimensionUniqueName="[SalesData]" displayFolder="" count="0" memberValueDatatype="5" unbalanced="0"/>
    <cacheHierarchy uniqueName="[SalesData].[Revenue]" caption="Revenue" attribute="1" defaultMemberUniqueName="[SalesData].[Revenue].[All]" allUniqueName="[SalesData].[Revenue].[All]" dimensionUniqueName="[SalesData]" displayFolder="" count="0" memberValueDatatype="5" unbalanced="0"/>
    <cacheHierarchy uniqueName="[SalesData].[DateOfPurchase (Month)]" caption="DateOfPurchase (Month)" attribute="1" defaultMemberUniqueName="[SalesData].[DateOfPurchase (Month)].[All]" allUniqueName="[SalesData].[DateOfPurchase (Month)].[All]" dimensionUniqueName="[SalesData]" displayFolder="" count="0" memberValueDatatype="130" unbalanced="0"/>
    <cacheHierarchy uniqueName="[SalesData].[DateOfPurchase (Quarter)]" caption="DateOfPurchase (Quarter)" attribute="1" defaultMemberUniqueName="[SalesData].[DateOfPurchase (Quarter)].[All]" allUniqueName="[SalesData].[DateOfPurchase (Quarter)].[All]" dimensionUniqueName="[SalesData]" displayFolder="" count="2" memberValueDatatype="130" unbalanced="0">
      <fieldsUsage count="2">
        <fieldUsage x="-1"/>
        <fieldUsage x="3"/>
      </fieldsUsage>
    </cacheHierarchy>
    <cacheHierarchy uniqueName="[SalesData].[DateOfPurchase (Year)]" caption="DateOfPurchase (Year)" attribute="1" defaultMemberUniqueName="[SalesData].[DateOfPurchase (Year)].[All]" allUniqueName="[SalesData].[DateOfPurchase (Year)].[All]" dimensionUniqueName="[SalesData]" displayFolder="" count="2" memberValueDatatype="130" unbalanced="0">
      <fieldsUsage count="2">
        <fieldUsage x="-1"/>
        <fieldUsage x="2"/>
      </fieldsUsage>
    </cacheHierarchy>
    <cacheHierarchy uniqueName="[SalesData].[Year-Quarter]" caption="Year-Quarter" attribute="1" defaultMemberUniqueName="[SalesData].[Year-Quarter].[All]" allUniqueName="[SalesData].[Year-Quarter].[All]" dimensionUniqueName="[SalesData]" displayFolder="" count="2" memberValueDatatype="130" unbalanced="0">
      <fieldsUsage count="2">
        <fieldUsage x="-1"/>
        <fieldUsage x="5"/>
      </fieldsUsage>
    </cacheHierarchy>
    <cacheHierarchy uniqueName="[SalesData].[DateOfPurchase (Month Index)]" caption="DateOfPurchase (Month Index)" attribute="1" defaultMemberUniqueName="[SalesData].[DateOfPurchase (Month Index)].[All]" allUniqueName="[SalesData].[DateOfPurchase (Month Index)].[All]" dimensionUniqueName="[SalesData]" displayFolder="" count="0" memberValueDatatype="20" unbalanced="0" hidden="1"/>
    <cacheHierarchy uniqueName="[Measures].[__XL_Count Table2]" caption="__XL_Count Table2" measure="1" displayFolder="" measureGroup="CustomerData" count="0" hidden="1"/>
    <cacheHierarchy uniqueName="[Measures].[__XL_Count Table2_2]" caption="__XL_Count Table2_2" measure="1" displayFolder="" measureGroup="SalesData" count="0" hidden="1"/>
    <cacheHierarchy uniqueName="[Measures].[__XL_Count Table2_1]" caption="__XL_Count Table2_1" measure="1" displayFolder="" measureGroup="ProductData" count="0" hidden="1"/>
    <cacheHierarchy uniqueName="[Measures].[__No measures defined]" caption="__No measures defined" measure="1" displayFolder="" count="0" hidden="1"/>
    <cacheHierarchy uniqueName="[Measures].[Sum of QuantitySold]" caption="Sum of QuantitySold" measure="1" displayFolder="" measureGroup="Sales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Revenue]" caption="Sum of Revenue" measure="1" displayFolder="" measureGroup="SalesData" count="0" hidden="1">
      <extLst>
        <ext xmlns:x15="http://schemas.microsoft.com/office/spreadsheetml/2010/11/main" uri="{B97F6D7D-B522-45F9-BDA1-12C45D357490}">
          <x15:cacheHierarchy aggregatedColumn="16"/>
        </ext>
      </extLst>
    </cacheHierarchy>
    <cacheHierarchy uniqueName="[Measures].[Count of ProductID]" caption="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Distinct Count of ProductID]" caption="Distinct 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Count of ProductID 2]" caption="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Distinct Count of ProductID 2]" caption="Distinct 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Count of CustomerID]" caption="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SalesData" count="0" hidden="1">
      <extLst>
        <ext xmlns:x15="http://schemas.microsoft.com/office/spreadsheetml/2010/11/main" uri="{B97F6D7D-B522-45F9-BDA1-12C45D357490}">
          <x15:cacheHierarchy aggregatedColumn="16"/>
        </ext>
      </extLst>
    </cacheHierarchy>
    <cacheHierarchy uniqueName="[Measures].[Count of CustomerID 2]" caption="Count of CustomerID 2" measure="1" displayFolder="" measureGroup="CustomerData" count="0" hidden="1">
      <extLst>
        <ext xmlns:x15="http://schemas.microsoft.com/office/spreadsheetml/2010/11/main" uri="{B97F6D7D-B522-45F9-BDA1-12C45D357490}">
          <x15:cacheHierarchy aggregatedColumn="0"/>
        </ext>
      </extLst>
    </cacheHierarchy>
    <cacheHierarchy uniqueName="[Measures].[Count of ProductCategory]" caption="Count of ProductCategory" measure="1" displayFolder="" measureGroup="ProductData" count="0" hidden="1">
      <extLst>
        <ext xmlns:x15="http://schemas.microsoft.com/office/spreadsheetml/2010/11/main" uri="{B97F6D7D-B522-45F9-BDA1-12C45D357490}">
          <x15:cacheHierarchy aggregatedColumn="7"/>
        </ext>
      </extLst>
    </cacheHierarchy>
  </cacheHierarchies>
  <kpis count="0"/>
  <dimensions count="4">
    <dimension name="CustomerData" uniqueName="[CustomerData]" caption="CustomerData"/>
    <dimension measure="1" name="Measures" uniqueName="[Measures]" caption="Measures"/>
    <dimension name="ProductData" uniqueName="[ProductData]" caption="ProductData"/>
    <dimension name="SalesData" uniqueName="[SalesData]" caption="SalesData"/>
  </dimensions>
  <measureGroups count="3">
    <measureGroup name="CustomerData" caption="CustomerData"/>
    <measureGroup name="ProductData" caption="ProductData"/>
    <measureGroup name="SalesData" caption="SalesData"/>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zriel Akbar A." refreshedDate="45609.635131134259" backgroundQuery="1" createdVersion="8" refreshedVersion="8" minRefreshableVersion="3" recordCount="0" supportSubquery="1" supportAdvancedDrill="1" xr:uid="{CB27E9D5-1E77-4CEF-9051-2E4DC606F1FB}">
  <cacheSource type="external" connectionId="1"/>
  <cacheFields count="5">
    <cacheField name="[CustomerData].[AgeCategory].[AgeCategory]" caption="AgeCategory" numFmtId="0" hierarchy="5" level="1">
      <sharedItems count="4">
        <s v="Adult"/>
        <s v="Senior"/>
        <s v="Young"/>
        <s v="Young Adult"/>
      </sharedItems>
    </cacheField>
    <cacheField name="[ProductData].[ProductCategory].[ProductCategory]" caption="ProductCategory" numFmtId="0" hierarchy="7" level="1">
      <sharedItems count="5">
        <s v="Books"/>
        <s v="Clothing"/>
        <s v="Electronics"/>
        <s v="Home"/>
        <s v="Sports"/>
      </sharedItems>
    </cacheField>
    <cacheField name="[Measures].[Sum of QuantitySold]" caption="Sum of QuantitySold" numFmtId="0" hierarchy="26" level="32767"/>
    <cacheField name="[CustomerData].[Region].[Region]" caption="Region" numFmtId="0" hierarchy="3" level="1">
      <sharedItems containsSemiMixedTypes="0" containsNonDate="0" containsString="0"/>
    </cacheField>
    <cacheField name="[SalesData].[Year-Quarter].[Year-Quarter]" caption="Year-Quarter" numFmtId="0" hierarchy="20" level="1">
      <sharedItems containsSemiMixedTypes="0" containsNonDate="0" containsString="0"/>
    </cacheField>
  </cacheFields>
  <cacheHierarchies count="37">
    <cacheHierarchy uniqueName="[CustomerData].[CustomerID]" caption="CustomerID" attribute="1" defaultMemberUniqueName="[CustomerData].[CustomerID].[All]" allUniqueName="[CustomerData].[CustomerID].[All]" dimensionUniqueName="[CustomerData]" displayFolder="" count="0" memberValueDatatype="130" unbalanced="0"/>
    <cacheHierarchy uniqueName="[CustomerData].[Name]" caption="Name" attribute="1" defaultMemberUniqueName="[CustomerData].[Name].[All]" allUniqueName="[CustomerData].[Name].[All]" dimensionUniqueName="[CustomerData]" displayFolder="" count="0" memberValueDatatype="130" unbalanced="0"/>
    <cacheHierarchy uniqueName="[CustomerData].[Age]" caption="Age" attribute="1" defaultMemberUniqueName="[CustomerData].[Age].[All]" allUniqueName="[CustomerData].[Age].[All]" dimensionUniqueName="[CustomerData]" displayFolder="" count="0" memberValueDatatype="20" unbalanced="0"/>
    <cacheHierarchy uniqueName="[CustomerData].[Region]" caption="Region" attribute="1" defaultMemberUniqueName="[CustomerData].[Region].[All]" allUniqueName="[CustomerData].[Region].[All]" dimensionUniqueName="[CustomerData]" displayFolder="" count="2" memberValueDatatype="130" unbalanced="0">
      <fieldsUsage count="2">
        <fieldUsage x="-1"/>
        <fieldUsage x="3"/>
      </fieldsUsage>
    </cacheHierarchy>
    <cacheHierarchy uniqueName="[CustomerData].[MembershipLevel]" caption="MembershipLevel" attribute="1" defaultMemberUniqueName="[CustomerData].[MembershipLevel].[All]" allUniqueName="[CustomerData].[MembershipLevel].[All]" dimensionUniqueName="[CustomerData]" displayFolder="" count="0" memberValueDatatype="130" unbalanced="0"/>
    <cacheHierarchy uniqueName="[CustomerData].[AgeCategory]" caption="AgeCategory" attribute="1" defaultMemberUniqueName="[CustomerData].[AgeCategory].[All]" allUniqueName="[CustomerData].[AgeCategory].[All]" dimensionUniqueName="[CustomerData]" displayFolder="" count="2" memberValueDatatype="130" unbalanced="0">
      <fieldsUsage count="2">
        <fieldUsage x="-1"/>
        <fieldUsage x="0"/>
      </fieldsUsage>
    </cacheHierarchy>
    <cacheHierarchy uniqueName="[ProductData].[ProductID]" caption="ProductID" attribute="1" defaultMemberUniqueName="[ProductData].[ProductID].[All]" allUniqueName="[ProductData].[ProductID].[All]" dimensionUniqueName="[ProductData]" displayFolder="" count="0" memberValueDatatype="130" unbalanced="0"/>
    <cacheHierarchy uniqueName="[ProductData].[ProductCategory]" caption="ProductCategory" attribute="1" defaultMemberUniqueName="[ProductData].[ProductCategory].[All]" allUniqueName="[ProductData].[ProductCategory].[All]" dimensionUniqueName="[ProductData]" displayFolder="" count="2" memberValueDatatype="130" unbalanced="0">
      <fieldsUsage count="2">
        <fieldUsage x="-1"/>
        <fieldUsage x="1"/>
      </fieldsUsage>
    </cacheHierarchy>
    <cacheHierarchy uniqueName="[ProductData].[Supplier]" caption="Supplier" attribute="1" defaultMemberUniqueName="[ProductData].[Supplier].[All]" allUniqueName="[ProductData].[Supplier].[All]" dimensionUniqueName="[ProductData]" displayFolder="" count="0" memberValueDatatype="130" unbalanced="0"/>
    <cacheHierarchy uniqueName="[ProductData].[ProductCost]" caption="ProductCost" attribute="1" defaultMemberUniqueName="[ProductData].[ProductCost].[All]" allUniqueName="[ProductData].[ProductCost].[All]" dimensionUniqueName="[ProductData]" displayFolder="" count="0" memberValueDatatype="5" unbalanced="0"/>
    <cacheHierarchy uniqueName="[SalesData].[OrderID]" caption="OrderID" attribute="1" defaultMemberUniqueName="[SalesData].[OrderID].[All]" allUniqueName="[SalesData].[OrderID].[All]" dimensionUniqueName="[SalesData]" displayFolder="" count="0" memberValueDatatype="130" unbalanced="0"/>
    <cacheHierarchy uniqueName="[SalesData].[ProductID]" caption="ProductID" attribute="1" defaultMemberUniqueName="[SalesData].[ProductID].[All]" allUniqueName="[SalesData].[ProductID].[All]" dimensionUniqueName="[SalesData]" displayFolder="" count="0" memberValueDatatype="130" unbalanced="0"/>
    <cacheHierarchy uniqueName="[SalesData].[CustomerID]" caption="CustomerID" attribute="1" defaultMemberUniqueName="[SalesData].[CustomerID].[All]" allUniqueName="[SalesData].[CustomerID].[All]" dimensionUniqueName="[SalesData]" displayFolder="" count="0" memberValueDatatype="130" unbalanced="0"/>
    <cacheHierarchy uniqueName="[SalesData].[DateOfPurchase]" caption="DateOfPurchase" attribute="1" time="1" defaultMemberUniqueName="[SalesData].[DateOfPurchase].[All]" allUniqueName="[SalesData].[DateOfPurchase].[All]" dimensionUniqueName="[SalesData]" displayFolder="" count="0" memberValueDatatype="7" unbalanced="0"/>
    <cacheHierarchy uniqueName="[SalesData].[QuantitySold]" caption="QuantitySold" attribute="1" defaultMemberUniqueName="[SalesData].[QuantitySold].[All]" allUniqueName="[SalesData].[QuantitySold].[All]" dimensionUniqueName="[SalesData]" displayFolder="" count="0" memberValueDatatype="20" unbalanced="0"/>
    <cacheHierarchy uniqueName="[SalesData].[Price]" caption="Price" attribute="1" defaultMemberUniqueName="[SalesData].[Price].[All]" allUniqueName="[SalesData].[Price].[All]" dimensionUniqueName="[SalesData]" displayFolder="" count="0" memberValueDatatype="5" unbalanced="0"/>
    <cacheHierarchy uniqueName="[SalesData].[Revenue]" caption="Revenue" attribute="1" defaultMemberUniqueName="[SalesData].[Revenue].[All]" allUniqueName="[SalesData].[Revenue].[All]" dimensionUniqueName="[SalesData]" displayFolder="" count="0" memberValueDatatype="5" unbalanced="0"/>
    <cacheHierarchy uniqueName="[SalesData].[DateOfPurchase (Month)]" caption="DateOfPurchase (Month)" attribute="1" defaultMemberUniqueName="[SalesData].[DateOfPurchase (Month)].[All]" allUniqueName="[SalesData].[DateOfPurchase (Month)].[All]" dimensionUniqueName="[SalesData]" displayFolder="" count="0" memberValueDatatype="130" unbalanced="0"/>
    <cacheHierarchy uniqueName="[SalesData].[DateOfPurchase (Quarter)]" caption="DateOfPurchase (Quarter)" attribute="1" defaultMemberUniqueName="[SalesData].[DateOfPurchase (Quarter)].[All]" allUniqueName="[SalesData].[DateOfPurchase (Quarter)].[All]" dimensionUniqueName="[SalesData]" displayFolder="" count="0" memberValueDatatype="130" unbalanced="0"/>
    <cacheHierarchy uniqueName="[SalesData].[DateOfPurchase (Year)]" caption="DateOfPurchase (Year)" attribute="1" defaultMemberUniqueName="[SalesData].[DateOfPurchase (Year)].[All]" allUniqueName="[SalesData].[DateOfPurchase (Year)].[All]" dimensionUniqueName="[SalesData]" displayFolder="" count="0" memberValueDatatype="130" unbalanced="0"/>
    <cacheHierarchy uniqueName="[SalesData].[Year-Quarter]" caption="Year-Quarter" attribute="1" defaultMemberUniqueName="[SalesData].[Year-Quarter].[All]" allUniqueName="[SalesData].[Year-Quarter].[All]" dimensionUniqueName="[SalesData]" displayFolder="" count="2" memberValueDatatype="130" unbalanced="0">
      <fieldsUsage count="2">
        <fieldUsage x="-1"/>
        <fieldUsage x="4"/>
      </fieldsUsage>
    </cacheHierarchy>
    <cacheHierarchy uniqueName="[SalesData].[DateOfPurchase (Month Index)]" caption="DateOfPurchase (Month Index)" attribute="1" defaultMemberUniqueName="[SalesData].[DateOfPurchase (Month Index)].[All]" allUniqueName="[SalesData].[DateOfPurchase (Month Index)].[All]" dimensionUniqueName="[SalesData]" displayFolder="" count="0" memberValueDatatype="20" unbalanced="0" hidden="1"/>
    <cacheHierarchy uniqueName="[Measures].[__XL_Count Table2]" caption="__XL_Count Table2" measure="1" displayFolder="" measureGroup="CustomerData" count="0" hidden="1"/>
    <cacheHierarchy uniqueName="[Measures].[__XL_Count Table2_2]" caption="__XL_Count Table2_2" measure="1" displayFolder="" measureGroup="SalesData" count="0" hidden="1"/>
    <cacheHierarchy uniqueName="[Measures].[__XL_Count Table2_1]" caption="__XL_Count Table2_1" measure="1" displayFolder="" measureGroup="ProductData" count="0" hidden="1"/>
    <cacheHierarchy uniqueName="[Measures].[__No measures defined]" caption="__No measures defined" measure="1" displayFolder="" count="0" hidden="1"/>
    <cacheHierarchy uniqueName="[Measures].[Sum of QuantitySold]" caption="Sum of QuantitySold" measure="1" displayFolder="" measureGroup="SalesData" count="0" oneField="1" hidden="1">
      <fieldsUsage count="1">
        <fieldUsage x="2"/>
      </fieldsUsage>
      <extLst>
        <ext xmlns:x15="http://schemas.microsoft.com/office/spreadsheetml/2010/11/main" uri="{B97F6D7D-B522-45F9-BDA1-12C45D357490}">
          <x15:cacheHierarchy aggregatedColumn="14"/>
        </ext>
      </extLst>
    </cacheHierarchy>
    <cacheHierarchy uniqueName="[Measures].[Sum of Revenue]" caption="Sum of Revenue" measure="1" displayFolder="" measureGroup="SalesData" count="0" hidden="1">
      <extLst>
        <ext xmlns:x15="http://schemas.microsoft.com/office/spreadsheetml/2010/11/main" uri="{B97F6D7D-B522-45F9-BDA1-12C45D357490}">
          <x15:cacheHierarchy aggregatedColumn="16"/>
        </ext>
      </extLst>
    </cacheHierarchy>
    <cacheHierarchy uniqueName="[Measures].[Count of ProductID]" caption="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Distinct Count of ProductID]" caption="Distinct 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Count of ProductID 2]" caption="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Distinct Count of ProductID 2]" caption="Distinct 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Count of CustomerID]" caption="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SalesData" count="0" hidden="1">
      <extLst>
        <ext xmlns:x15="http://schemas.microsoft.com/office/spreadsheetml/2010/11/main" uri="{B97F6D7D-B522-45F9-BDA1-12C45D357490}">
          <x15:cacheHierarchy aggregatedColumn="16"/>
        </ext>
      </extLst>
    </cacheHierarchy>
    <cacheHierarchy uniqueName="[Measures].[Count of CustomerID 2]" caption="Count of CustomerID 2" measure="1" displayFolder="" measureGroup="CustomerData" count="0" hidden="1">
      <extLst>
        <ext xmlns:x15="http://schemas.microsoft.com/office/spreadsheetml/2010/11/main" uri="{B97F6D7D-B522-45F9-BDA1-12C45D357490}">
          <x15:cacheHierarchy aggregatedColumn="0"/>
        </ext>
      </extLst>
    </cacheHierarchy>
    <cacheHierarchy uniqueName="[Measures].[Count of ProductCategory]" caption="Count of ProductCategory" measure="1" displayFolder="" measureGroup="ProductData" count="0" hidden="1">
      <extLst>
        <ext xmlns:x15="http://schemas.microsoft.com/office/spreadsheetml/2010/11/main" uri="{B97F6D7D-B522-45F9-BDA1-12C45D357490}">
          <x15:cacheHierarchy aggregatedColumn="7"/>
        </ext>
      </extLst>
    </cacheHierarchy>
  </cacheHierarchies>
  <kpis count="0"/>
  <dimensions count="4">
    <dimension name="CustomerData" uniqueName="[CustomerData]" caption="CustomerData"/>
    <dimension measure="1" name="Measures" uniqueName="[Measures]" caption="Measures"/>
    <dimension name="ProductData" uniqueName="[ProductData]" caption="ProductData"/>
    <dimension name="SalesData" uniqueName="[SalesData]" caption="SalesData"/>
  </dimensions>
  <measureGroups count="3">
    <measureGroup name="CustomerData" caption="CustomerData"/>
    <measureGroup name="ProductData" caption="ProductData"/>
    <measureGroup name="SalesData" caption="SalesData"/>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zriel Akbar A." refreshedDate="45609.635132060183" backgroundQuery="1" createdVersion="8" refreshedVersion="8" minRefreshableVersion="3" recordCount="0" supportSubquery="1" supportAdvancedDrill="1" xr:uid="{07B8592C-7EDF-47DA-9582-822C6572AB9B}">
  <cacheSource type="external" connectionId="1"/>
  <cacheFields count="4">
    <cacheField name="[Measures].[Sum of QuantitySold]" caption="Sum of QuantitySold" numFmtId="0" hierarchy="26" level="32767"/>
    <cacheField name="[CustomerData].[Region].[Region]" caption="Region" numFmtId="0" hierarchy="3" level="1">
      <sharedItems count="4">
        <s v="East"/>
        <s v="North"/>
        <s v="South"/>
        <s v="West"/>
      </sharedItems>
    </cacheField>
    <cacheField name="[ProductData].[ProductCategory].[ProductCategory]" caption="ProductCategory" numFmtId="0" hierarchy="7" level="1">
      <sharedItems containsSemiMixedTypes="0" containsNonDate="0" containsString="0"/>
    </cacheField>
    <cacheField name="[SalesData].[Year-Quarter].[Year-Quarter]" caption="Year-Quarter" numFmtId="0" hierarchy="20" level="1">
      <sharedItems containsSemiMixedTypes="0" containsNonDate="0" containsString="0"/>
    </cacheField>
  </cacheFields>
  <cacheHierarchies count="37">
    <cacheHierarchy uniqueName="[CustomerData].[CustomerID]" caption="CustomerID" attribute="1" defaultMemberUniqueName="[CustomerData].[CustomerID].[All]" allUniqueName="[CustomerData].[CustomerID].[All]" dimensionUniqueName="[CustomerData]" displayFolder="" count="0" memberValueDatatype="130" unbalanced="0"/>
    <cacheHierarchy uniqueName="[CustomerData].[Name]" caption="Name" attribute="1" defaultMemberUniqueName="[CustomerData].[Name].[All]" allUniqueName="[CustomerData].[Name].[All]" dimensionUniqueName="[CustomerData]" displayFolder="" count="0" memberValueDatatype="130" unbalanced="0"/>
    <cacheHierarchy uniqueName="[CustomerData].[Age]" caption="Age" attribute="1" defaultMemberUniqueName="[CustomerData].[Age].[All]" allUniqueName="[CustomerData].[Age].[All]" dimensionUniqueName="[CustomerData]" displayFolder="" count="0" memberValueDatatype="20" unbalanced="0"/>
    <cacheHierarchy uniqueName="[CustomerData].[Region]" caption="Region" attribute="1" defaultMemberUniqueName="[CustomerData].[Region].[All]" allUniqueName="[CustomerData].[Region].[All]" dimensionUniqueName="[CustomerData]" displayFolder="" count="2" memberValueDatatype="130" unbalanced="0">
      <fieldsUsage count="2">
        <fieldUsage x="-1"/>
        <fieldUsage x="1"/>
      </fieldsUsage>
    </cacheHierarchy>
    <cacheHierarchy uniqueName="[CustomerData].[MembershipLevel]" caption="MembershipLevel" attribute="1" defaultMemberUniqueName="[CustomerData].[MembershipLevel].[All]" allUniqueName="[CustomerData].[MembershipLevel].[All]" dimensionUniqueName="[CustomerData]" displayFolder="" count="0" memberValueDatatype="130" unbalanced="0"/>
    <cacheHierarchy uniqueName="[CustomerData].[AgeCategory]" caption="AgeCategory" attribute="1" defaultMemberUniqueName="[CustomerData].[AgeCategory].[All]" allUniqueName="[CustomerData].[AgeCategory].[All]" dimensionUniqueName="[CustomerData]" displayFolder="" count="0" memberValueDatatype="130" unbalanced="0"/>
    <cacheHierarchy uniqueName="[ProductData].[ProductID]" caption="ProductID" attribute="1" defaultMemberUniqueName="[ProductData].[ProductID].[All]" allUniqueName="[ProductData].[ProductID].[All]" dimensionUniqueName="[ProductData]" displayFolder="" count="0" memberValueDatatype="130" unbalanced="0"/>
    <cacheHierarchy uniqueName="[ProductData].[ProductCategory]" caption="ProductCategory" attribute="1" defaultMemberUniqueName="[ProductData].[ProductCategory].[All]" allUniqueName="[ProductData].[ProductCategory].[All]" dimensionUniqueName="[ProductData]" displayFolder="" count="2" memberValueDatatype="130" unbalanced="0">
      <fieldsUsage count="2">
        <fieldUsage x="-1"/>
        <fieldUsage x="2"/>
      </fieldsUsage>
    </cacheHierarchy>
    <cacheHierarchy uniqueName="[ProductData].[Supplier]" caption="Supplier" attribute="1" defaultMemberUniqueName="[ProductData].[Supplier].[All]" allUniqueName="[ProductData].[Supplier].[All]" dimensionUniqueName="[ProductData]" displayFolder="" count="0" memberValueDatatype="130" unbalanced="0"/>
    <cacheHierarchy uniqueName="[ProductData].[ProductCost]" caption="ProductCost" attribute="1" defaultMemberUniqueName="[ProductData].[ProductCost].[All]" allUniqueName="[ProductData].[ProductCost].[All]" dimensionUniqueName="[ProductData]" displayFolder="" count="0" memberValueDatatype="5" unbalanced="0"/>
    <cacheHierarchy uniqueName="[SalesData].[OrderID]" caption="OrderID" attribute="1" defaultMemberUniqueName="[SalesData].[OrderID].[All]" allUniqueName="[SalesData].[OrderID].[All]" dimensionUniqueName="[SalesData]" displayFolder="" count="0" memberValueDatatype="130" unbalanced="0"/>
    <cacheHierarchy uniqueName="[SalesData].[ProductID]" caption="ProductID" attribute="1" defaultMemberUniqueName="[SalesData].[ProductID].[All]" allUniqueName="[SalesData].[ProductID].[All]" dimensionUniqueName="[SalesData]" displayFolder="" count="0" memberValueDatatype="130" unbalanced="0"/>
    <cacheHierarchy uniqueName="[SalesData].[CustomerID]" caption="CustomerID" attribute="1" defaultMemberUniqueName="[SalesData].[CustomerID].[All]" allUniqueName="[SalesData].[CustomerID].[All]" dimensionUniqueName="[SalesData]" displayFolder="" count="0" memberValueDatatype="130" unbalanced="0"/>
    <cacheHierarchy uniqueName="[SalesData].[DateOfPurchase]" caption="DateOfPurchase" attribute="1" time="1" defaultMemberUniqueName="[SalesData].[DateOfPurchase].[All]" allUniqueName="[SalesData].[DateOfPurchase].[All]" dimensionUniqueName="[SalesData]" displayFolder="" count="0" memberValueDatatype="7" unbalanced="0"/>
    <cacheHierarchy uniqueName="[SalesData].[QuantitySold]" caption="QuantitySold" attribute="1" defaultMemberUniqueName="[SalesData].[QuantitySold].[All]" allUniqueName="[SalesData].[QuantitySold].[All]" dimensionUniqueName="[SalesData]" displayFolder="" count="0" memberValueDatatype="20" unbalanced="0"/>
    <cacheHierarchy uniqueName="[SalesData].[Price]" caption="Price" attribute="1" defaultMemberUniqueName="[SalesData].[Price].[All]" allUniqueName="[SalesData].[Price].[All]" dimensionUniqueName="[SalesData]" displayFolder="" count="0" memberValueDatatype="5" unbalanced="0"/>
    <cacheHierarchy uniqueName="[SalesData].[Revenue]" caption="Revenue" attribute="1" defaultMemberUniqueName="[SalesData].[Revenue].[All]" allUniqueName="[SalesData].[Revenue].[All]" dimensionUniqueName="[SalesData]" displayFolder="" count="0" memberValueDatatype="5" unbalanced="0"/>
    <cacheHierarchy uniqueName="[SalesData].[DateOfPurchase (Month)]" caption="DateOfPurchase (Month)" attribute="1" defaultMemberUniqueName="[SalesData].[DateOfPurchase (Month)].[All]" allUniqueName="[SalesData].[DateOfPurchase (Month)].[All]" dimensionUniqueName="[SalesData]" displayFolder="" count="0" memberValueDatatype="130" unbalanced="0"/>
    <cacheHierarchy uniqueName="[SalesData].[DateOfPurchase (Quarter)]" caption="DateOfPurchase (Quarter)" attribute="1" defaultMemberUniqueName="[SalesData].[DateOfPurchase (Quarter)].[All]" allUniqueName="[SalesData].[DateOfPurchase (Quarter)].[All]" dimensionUniqueName="[SalesData]" displayFolder="" count="0" memberValueDatatype="130" unbalanced="0"/>
    <cacheHierarchy uniqueName="[SalesData].[DateOfPurchase (Year)]" caption="DateOfPurchase (Year)" attribute="1" defaultMemberUniqueName="[SalesData].[DateOfPurchase (Year)].[All]" allUniqueName="[SalesData].[DateOfPurchase (Year)].[All]" dimensionUniqueName="[SalesData]" displayFolder="" count="0" memberValueDatatype="130" unbalanced="0"/>
    <cacheHierarchy uniqueName="[SalesData].[Year-Quarter]" caption="Year-Quarter" attribute="1" defaultMemberUniqueName="[SalesData].[Year-Quarter].[All]" allUniqueName="[SalesData].[Year-Quarter].[All]" dimensionUniqueName="[SalesData]" displayFolder="" count="2" memberValueDatatype="130" unbalanced="0">
      <fieldsUsage count="2">
        <fieldUsage x="-1"/>
        <fieldUsage x="3"/>
      </fieldsUsage>
    </cacheHierarchy>
    <cacheHierarchy uniqueName="[SalesData].[DateOfPurchase (Month Index)]" caption="DateOfPurchase (Month Index)" attribute="1" defaultMemberUniqueName="[SalesData].[DateOfPurchase (Month Index)].[All]" allUniqueName="[SalesData].[DateOfPurchase (Month Index)].[All]" dimensionUniqueName="[SalesData]" displayFolder="" count="0" memberValueDatatype="20" unbalanced="0" hidden="1"/>
    <cacheHierarchy uniqueName="[Measures].[__XL_Count Table2]" caption="__XL_Count Table2" measure="1" displayFolder="" measureGroup="CustomerData" count="0" hidden="1"/>
    <cacheHierarchy uniqueName="[Measures].[__XL_Count Table2_2]" caption="__XL_Count Table2_2" measure="1" displayFolder="" measureGroup="SalesData" count="0" hidden="1"/>
    <cacheHierarchy uniqueName="[Measures].[__XL_Count Table2_1]" caption="__XL_Count Table2_1" measure="1" displayFolder="" measureGroup="ProductData" count="0" hidden="1"/>
    <cacheHierarchy uniqueName="[Measures].[__No measures defined]" caption="__No measures defined" measure="1" displayFolder="" count="0" hidden="1"/>
    <cacheHierarchy uniqueName="[Measures].[Sum of QuantitySold]" caption="Sum of QuantitySold" measure="1" displayFolder="" measureGroup="SalesData"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Revenue]" caption="Sum of Revenue" measure="1" displayFolder="" measureGroup="SalesData" count="0" hidden="1">
      <extLst>
        <ext xmlns:x15="http://schemas.microsoft.com/office/spreadsheetml/2010/11/main" uri="{B97F6D7D-B522-45F9-BDA1-12C45D357490}">
          <x15:cacheHierarchy aggregatedColumn="16"/>
        </ext>
      </extLst>
    </cacheHierarchy>
    <cacheHierarchy uniqueName="[Measures].[Count of ProductID]" caption="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Distinct Count of ProductID]" caption="Distinct 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Count of ProductID 2]" caption="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Distinct Count of ProductID 2]" caption="Distinct 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Count of CustomerID]" caption="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SalesData" count="0" hidden="1">
      <extLst>
        <ext xmlns:x15="http://schemas.microsoft.com/office/spreadsheetml/2010/11/main" uri="{B97F6D7D-B522-45F9-BDA1-12C45D357490}">
          <x15:cacheHierarchy aggregatedColumn="16"/>
        </ext>
      </extLst>
    </cacheHierarchy>
    <cacheHierarchy uniqueName="[Measures].[Count of CustomerID 2]" caption="Count of CustomerID 2" measure="1" displayFolder="" measureGroup="CustomerData" count="0" hidden="1">
      <extLst>
        <ext xmlns:x15="http://schemas.microsoft.com/office/spreadsheetml/2010/11/main" uri="{B97F6D7D-B522-45F9-BDA1-12C45D357490}">
          <x15:cacheHierarchy aggregatedColumn="0"/>
        </ext>
      </extLst>
    </cacheHierarchy>
    <cacheHierarchy uniqueName="[Measures].[Count of ProductCategory]" caption="Count of ProductCategory" measure="1" displayFolder="" measureGroup="ProductData" count="0" hidden="1">
      <extLst>
        <ext xmlns:x15="http://schemas.microsoft.com/office/spreadsheetml/2010/11/main" uri="{B97F6D7D-B522-45F9-BDA1-12C45D357490}">
          <x15:cacheHierarchy aggregatedColumn="7"/>
        </ext>
      </extLst>
    </cacheHierarchy>
  </cacheHierarchies>
  <kpis count="0"/>
  <dimensions count="4">
    <dimension name="CustomerData" uniqueName="[CustomerData]" caption="CustomerData"/>
    <dimension measure="1" name="Measures" uniqueName="[Measures]" caption="Measures"/>
    <dimension name="ProductData" uniqueName="[ProductData]" caption="ProductData"/>
    <dimension name="SalesData" uniqueName="[SalesData]" caption="SalesData"/>
  </dimensions>
  <measureGroups count="3">
    <measureGroup name="CustomerData" caption="CustomerData"/>
    <measureGroup name="ProductData" caption="ProductData"/>
    <measureGroup name="SalesData" caption="SalesData"/>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zriel Akbar A." refreshedDate="45609.635132986114" backgroundQuery="1" createdVersion="8" refreshedVersion="8" minRefreshableVersion="3" recordCount="0" supportSubquery="1" supportAdvancedDrill="1" xr:uid="{EF9EF3E4-225A-4F51-961F-B90D9EB2A477}">
  <cacheSource type="external" connectionId="1"/>
  <cacheFields count="9">
    <cacheField name="[Measures].[Sum of Revenue]" caption="Sum of Revenue" numFmtId="0" hierarchy="27" level="32767"/>
    <cacheField name="[Measures].[Sum of QuantitySold]" caption="Sum of QuantitySold" numFmtId="0" hierarchy="26" level="32767"/>
    <cacheField name="[Measures].[Count of CustomerID 2]" caption="Count of CustomerID 2" numFmtId="0" hierarchy="35" level="32767"/>
    <cacheField name="[Measures].[Distinct Count of CustomerID]" caption="Distinct Count of CustomerID" numFmtId="0" hierarchy="33" level="32767"/>
    <cacheField name="[Measures].[Count of ProductID 2]" caption="Count of ProductID 2" numFmtId="0" hierarchy="30" level="32767"/>
    <cacheField name="[Measures].[Distinct Count of ProductID]" caption="Distinct Count of ProductID" numFmtId="0" hierarchy="29" level="32767"/>
    <cacheField name="[CustomerData].[Region].[Region]" caption="Region" numFmtId="0" hierarchy="3" level="1">
      <sharedItems containsSemiMixedTypes="0" containsNonDate="0" containsString="0"/>
    </cacheField>
    <cacheField name="[ProductData].[ProductCategory].[ProductCategory]" caption="ProductCategory" numFmtId="0" hierarchy="7" level="1">
      <sharedItems containsSemiMixedTypes="0" containsNonDate="0" containsString="0"/>
    </cacheField>
    <cacheField name="[SalesData].[Year-Quarter].[Year-Quarter]" caption="Year-Quarter" numFmtId="0" hierarchy="20" level="1">
      <sharedItems containsSemiMixedTypes="0" containsNonDate="0" containsString="0"/>
    </cacheField>
  </cacheFields>
  <cacheHierarchies count="37">
    <cacheHierarchy uniqueName="[CustomerData].[CustomerID]" caption="CustomerID" attribute="1" defaultMemberUniqueName="[CustomerData].[CustomerID].[All]" allUniqueName="[CustomerData].[CustomerID].[All]" dimensionUniqueName="[CustomerData]" displayFolder="" count="0" memberValueDatatype="130" unbalanced="0"/>
    <cacheHierarchy uniqueName="[CustomerData].[Name]" caption="Name" attribute="1" defaultMemberUniqueName="[CustomerData].[Name].[All]" allUniqueName="[CustomerData].[Name].[All]" dimensionUniqueName="[CustomerData]" displayFolder="" count="0" memberValueDatatype="130" unbalanced="0"/>
    <cacheHierarchy uniqueName="[CustomerData].[Age]" caption="Age" attribute="1" defaultMemberUniqueName="[CustomerData].[Age].[All]" allUniqueName="[CustomerData].[Age].[All]" dimensionUniqueName="[CustomerData]" displayFolder="" count="0" memberValueDatatype="20" unbalanced="0"/>
    <cacheHierarchy uniqueName="[CustomerData].[Region]" caption="Region" attribute="1" defaultMemberUniqueName="[CustomerData].[Region].[All]" allUniqueName="[CustomerData].[Region].[All]" dimensionUniqueName="[CustomerData]" displayFolder="" count="2" memberValueDatatype="130" unbalanced="0">
      <fieldsUsage count="2">
        <fieldUsage x="-1"/>
        <fieldUsage x="6"/>
      </fieldsUsage>
    </cacheHierarchy>
    <cacheHierarchy uniqueName="[CustomerData].[MembershipLevel]" caption="MembershipLevel" attribute="1" defaultMemberUniqueName="[CustomerData].[MembershipLevel].[All]" allUniqueName="[CustomerData].[MembershipLevel].[All]" dimensionUniqueName="[CustomerData]" displayFolder="" count="0" memberValueDatatype="130" unbalanced="0"/>
    <cacheHierarchy uniqueName="[CustomerData].[AgeCategory]" caption="AgeCategory" attribute="1" defaultMemberUniqueName="[CustomerData].[AgeCategory].[All]" allUniqueName="[CustomerData].[AgeCategory].[All]" dimensionUniqueName="[CustomerData]" displayFolder="" count="0" memberValueDatatype="130" unbalanced="0"/>
    <cacheHierarchy uniqueName="[ProductData].[ProductID]" caption="ProductID" attribute="1" defaultMemberUniqueName="[ProductData].[ProductID].[All]" allUniqueName="[ProductData].[ProductID].[All]" dimensionUniqueName="[ProductData]" displayFolder="" count="0" memberValueDatatype="130" unbalanced="0"/>
    <cacheHierarchy uniqueName="[ProductData].[ProductCategory]" caption="ProductCategory" attribute="1" defaultMemberUniqueName="[ProductData].[ProductCategory].[All]" allUniqueName="[ProductData].[ProductCategory].[All]" dimensionUniqueName="[ProductData]" displayFolder="" count="2" memberValueDatatype="130" unbalanced="0">
      <fieldsUsage count="2">
        <fieldUsage x="-1"/>
        <fieldUsage x="7"/>
      </fieldsUsage>
    </cacheHierarchy>
    <cacheHierarchy uniqueName="[ProductData].[Supplier]" caption="Supplier" attribute="1" defaultMemberUniqueName="[ProductData].[Supplier].[All]" allUniqueName="[ProductData].[Supplier].[All]" dimensionUniqueName="[ProductData]" displayFolder="" count="0" memberValueDatatype="130" unbalanced="0"/>
    <cacheHierarchy uniqueName="[ProductData].[ProductCost]" caption="ProductCost" attribute="1" defaultMemberUniqueName="[ProductData].[ProductCost].[All]" allUniqueName="[ProductData].[ProductCost].[All]" dimensionUniqueName="[ProductData]" displayFolder="" count="0" memberValueDatatype="5" unbalanced="0"/>
    <cacheHierarchy uniqueName="[SalesData].[OrderID]" caption="OrderID" attribute="1" defaultMemberUniqueName="[SalesData].[OrderID].[All]" allUniqueName="[SalesData].[OrderID].[All]" dimensionUniqueName="[SalesData]" displayFolder="" count="0" memberValueDatatype="130" unbalanced="0"/>
    <cacheHierarchy uniqueName="[SalesData].[ProductID]" caption="ProductID" attribute="1" defaultMemberUniqueName="[SalesData].[ProductID].[All]" allUniqueName="[SalesData].[ProductID].[All]" dimensionUniqueName="[SalesData]" displayFolder="" count="0" memberValueDatatype="130" unbalanced="0"/>
    <cacheHierarchy uniqueName="[SalesData].[CustomerID]" caption="CustomerID" attribute="1" defaultMemberUniqueName="[SalesData].[CustomerID].[All]" allUniqueName="[SalesData].[CustomerID].[All]" dimensionUniqueName="[SalesData]" displayFolder="" count="0" memberValueDatatype="130" unbalanced="0"/>
    <cacheHierarchy uniqueName="[SalesData].[DateOfPurchase]" caption="DateOfPurchase" attribute="1" time="1" defaultMemberUniqueName="[SalesData].[DateOfPurchase].[All]" allUniqueName="[SalesData].[DateOfPurchase].[All]" dimensionUniqueName="[SalesData]" displayFolder="" count="0" memberValueDatatype="7" unbalanced="0"/>
    <cacheHierarchy uniqueName="[SalesData].[QuantitySold]" caption="QuantitySold" attribute="1" defaultMemberUniqueName="[SalesData].[QuantitySold].[All]" allUniqueName="[SalesData].[QuantitySold].[All]" dimensionUniqueName="[SalesData]" displayFolder="" count="0" memberValueDatatype="20" unbalanced="0"/>
    <cacheHierarchy uniqueName="[SalesData].[Price]" caption="Price" attribute="1" defaultMemberUniqueName="[SalesData].[Price].[All]" allUniqueName="[SalesData].[Price].[All]" dimensionUniqueName="[SalesData]" displayFolder="" count="0" memberValueDatatype="5" unbalanced="0"/>
    <cacheHierarchy uniqueName="[SalesData].[Revenue]" caption="Revenue" attribute="1" defaultMemberUniqueName="[SalesData].[Revenue].[All]" allUniqueName="[SalesData].[Revenue].[All]" dimensionUniqueName="[SalesData]" displayFolder="" count="0" memberValueDatatype="5" unbalanced="0"/>
    <cacheHierarchy uniqueName="[SalesData].[DateOfPurchase (Month)]" caption="DateOfPurchase (Month)" attribute="1" defaultMemberUniqueName="[SalesData].[DateOfPurchase (Month)].[All]" allUniqueName="[SalesData].[DateOfPurchase (Month)].[All]" dimensionUniqueName="[SalesData]" displayFolder="" count="0" memberValueDatatype="130" unbalanced="0"/>
    <cacheHierarchy uniqueName="[SalesData].[DateOfPurchase (Quarter)]" caption="DateOfPurchase (Quarter)" attribute="1" defaultMemberUniqueName="[SalesData].[DateOfPurchase (Quarter)].[All]" allUniqueName="[SalesData].[DateOfPurchase (Quarter)].[All]" dimensionUniqueName="[SalesData]" displayFolder="" count="0" memberValueDatatype="130" unbalanced="0"/>
    <cacheHierarchy uniqueName="[SalesData].[DateOfPurchase (Year)]" caption="DateOfPurchase (Year)" attribute="1" defaultMemberUniqueName="[SalesData].[DateOfPurchase (Year)].[All]" allUniqueName="[SalesData].[DateOfPurchase (Year)].[All]" dimensionUniqueName="[SalesData]" displayFolder="" count="0" memberValueDatatype="130" unbalanced="0"/>
    <cacheHierarchy uniqueName="[SalesData].[Year-Quarter]" caption="Year-Quarter" attribute="1" defaultMemberUniqueName="[SalesData].[Year-Quarter].[All]" allUniqueName="[SalesData].[Year-Quarter].[All]" dimensionUniqueName="[SalesData]" displayFolder="" count="2" memberValueDatatype="130" unbalanced="0">
      <fieldsUsage count="2">
        <fieldUsage x="-1"/>
        <fieldUsage x="8"/>
      </fieldsUsage>
    </cacheHierarchy>
    <cacheHierarchy uniqueName="[SalesData].[DateOfPurchase (Month Index)]" caption="DateOfPurchase (Month Index)" attribute="1" defaultMemberUniqueName="[SalesData].[DateOfPurchase (Month Index)].[All]" allUniqueName="[SalesData].[DateOfPurchase (Month Index)].[All]" dimensionUniqueName="[SalesData]" displayFolder="" count="0" memberValueDatatype="20" unbalanced="0" hidden="1"/>
    <cacheHierarchy uniqueName="[Measures].[__XL_Count Table2]" caption="__XL_Count Table2" measure="1" displayFolder="" measureGroup="CustomerData" count="0" hidden="1"/>
    <cacheHierarchy uniqueName="[Measures].[__XL_Count Table2_2]" caption="__XL_Count Table2_2" measure="1" displayFolder="" measureGroup="SalesData" count="0" hidden="1"/>
    <cacheHierarchy uniqueName="[Measures].[__XL_Count Table2_1]" caption="__XL_Count Table2_1" measure="1" displayFolder="" measureGroup="ProductData" count="0" hidden="1"/>
    <cacheHierarchy uniqueName="[Measures].[__No measures defined]" caption="__No measures defined" measure="1" displayFolder="" count="0" hidden="1"/>
    <cacheHierarchy uniqueName="[Measures].[Sum of QuantitySold]" caption="Sum of QuantitySold" measure="1" displayFolder="" measureGroup="SalesData" count="0" oneField="1" hidden="1">
      <fieldsUsage count="1">
        <fieldUsage x="1"/>
      </fieldsUsage>
      <extLst>
        <ext xmlns:x15="http://schemas.microsoft.com/office/spreadsheetml/2010/11/main" uri="{B97F6D7D-B522-45F9-BDA1-12C45D357490}">
          <x15:cacheHierarchy aggregatedColumn="14"/>
        </ext>
      </extLst>
    </cacheHierarchy>
    <cacheHierarchy uniqueName="[Measures].[Sum of Revenue]" caption="Sum of Revenue" measure="1" displayFolder="" measureGroup="SalesData" count="0" oneField="1" hidden="1">
      <fieldsUsage count="1">
        <fieldUsage x="0"/>
      </fieldsUsage>
      <extLst>
        <ext xmlns:x15="http://schemas.microsoft.com/office/spreadsheetml/2010/11/main" uri="{B97F6D7D-B522-45F9-BDA1-12C45D357490}">
          <x15:cacheHierarchy aggregatedColumn="16"/>
        </ext>
      </extLst>
    </cacheHierarchy>
    <cacheHierarchy uniqueName="[Measures].[Count of ProductID]" caption="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Distinct Count of ProductID]" caption="Distinct Count of ProductID" measure="1" displayFolder="" measureGroup="SalesData" count="0" oneField="1" hidden="1">
      <fieldsUsage count="1">
        <fieldUsage x="5"/>
      </fieldsUsage>
      <extLst>
        <ext xmlns:x15="http://schemas.microsoft.com/office/spreadsheetml/2010/11/main" uri="{B97F6D7D-B522-45F9-BDA1-12C45D357490}">
          <x15:cacheHierarchy aggregatedColumn="11"/>
        </ext>
      </extLst>
    </cacheHierarchy>
    <cacheHierarchy uniqueName="[Measures].[Count of ProductID 2]" caption="Count of ProductID 2" measure="1" displayFolder="" measureGroup="ProductData" count="0" oneField="1" hidden="1">
      <fieldsUsage count="1">
        <fieldUsage x="4"/>
      </fieldsUsage>
      <extLst>
        <ext xmlns:x15="http://schemas.microsoft.com/office/spreadsheetml/2010/11/main" uri="{B97F6D7D-B522-45F9-BDA1-12C45D357490}">
          <x15:cacheHierarchy aggregatedColumn="6"/>
        </ext>
      </extLst>
    </cacheHierarchy>
    <cacheHierarchy uniqueName="[Measures].[Distinct Count of ProductID 2]" caption="Distinct 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Count of CustomerID]" caption="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SalesData" count="0" oneField="1" hidden="1">
      <fieldsUsage count="1">
        <fieldUsage x="3"/>
      </fieldsUsage>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SalesData" count="0" hidden="1">
      <extLst>
        <ext xmlns:x15="http://schemas.microsoft.com/office/spreadsheetml/2010/11/main" uri="{B97F6D7D-B522-45F9-BDA1-12C45D357490}">
          <x15:cacheHierarchy aggregatedColumn="16"/>
        </ext>
      </extLst>
    </cacheHierarchy>
    <cacheHierarchy uniqueName="[Measures].[Count of CustomerID 2]" caption="Count of CustomerID 2" measure="1" displayFolder="" measureGroup="CustomerData" count="0" oneField="1" hidden="1">
      <fieldsUsage count="1">
        <fieldUsage x="2"/>
      </fieldsUsage>
      <extLst>
        <ext xmlns:x15="http://schemas.microsoft.com/office/spreadsheetml/2010/11/main" uri="{B97F6D7D-B522-45F9-BDA1-12C45D357490}">
          <x15:cacheHierarchy aggregatedColumn="0"/>
        </ext>
      </extLst>
    </cacheHierarchy>
    <cacheHierarchy uniqueName="[Measures].[Count of ProductCategory]" caption="Count of ProductCategory" measure="1" displayFolder="" measureGroup="ProductData" count="0" hidden="1">
      <extLst>
        <ext xmlns:x15="http://schemas.microsoft.com/office/spreadsheetml/2010/11/main" uri="{B97F6D7D-B522-45F9-BDA1-12C45D357490}">
          <x15:cacheHierarchy aggregatedColumn="7"/>
        </ext>
      </extLst>
    </cacheHierarchy>
  </cacheHierarchies>
  <kpis count="0"/>
  <dimensions count="4">
    <dimension name="CustomerData" uniqueName="[CustomerData]" caption="CustomerData"/>
    <dimension measure="1" name="Measures" uniqueName="[Measures]" caption="Measures"/>
    <dimension name="ProductData" uniqueName="[ProductData]" caption="ProductData"/>
    <dimension name="SalesData" uniqueName="[SalesData]" caption="SalesData"/>
  </dimensions>
  <measureGroups count="3">
    <measureGroup name="CustomerData" caption="CustomerData"/>
    <measureGroup name="ProductData" caption="ProductData"/>
    <measureGroup name="SalesData" caption="SalesData"/>
  </measureGroups>
  <maps count="5">
    <map measureGroup="0" dimension="0"/>
    <map measureGroup="1" dimension="2"/>
    <map measureGroup="2" dimension="0"/>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zriel Akbar A." refreshedDate="45609.63512175926" backgroundQuery="1" createdVersion="3" refreshedVersion="8" minRefreshableVersion="3" recordCount="0" supportSubquery="1" supportAdvancedDrill="1" xr:uid="{82FF6050-12D2-44AA-B103-021168A966BC}">
  <cacheSource type="external" connectionId="1">
    <extLst>
      <ext xmlns:x14="http://schemas.microsoft.com/office/spreadsheetml/2009/9/main" uri="{F057638F-6D5F-4e77-A914-E7F072B9BCA8}">
        <x14:sourceConnection name="ThisWorkbookDataModel"/>
      </ext>
    </extLst>
  </cacheSource>
  <cacheFields count="0"/>
  <cacheHierarchies count="37">
    <cacheHierarchy uniqueName="[CustomerData].[CustomerID]" caption="CustomerID" attribute="1" defaultMemberUniqueName="[CustomerData].[CustomerID].[All]" allUniqueName="[CustomerData].[CustomerID].[All]" dimensionUniqueName="[CustomerData]" displayFolder="" count="0" memberValueDatatype="130" unbalanced="0"/>
    <cacheHierarchy uniqueName="[CustomerData].[Name]" caption="Name" attribute="1" defaultMemberUniqueName="[CustomerData].[Name].[All]" allUniqueName="[CustomerData].[Name].[All]" dimensionUniqueName="[CustomerData]" displayFolder="" count="0" memberValueDatatype="130" unbalanced="0"/>
    <cacheHierarchy uniqueName="[CustomerData].[Age]" caption="Age" attribute="1" defaultMemberUniqueName="[CustomerData].[Age].[All]" allUniqueName="[CustomerData].[Age].[All]" dimensionUniqueName="[CustomerData]" displayFolder="" count="0" memberValueDatatype="20" unbalanced="0"/>
    <cacheHierarchy uniqueName="[CustomerData].[Region]" caption="Region" attribute="1" defaultMemberUniqueName="[CustomerData].[Region].[All]" allUniqueName="[CustomerData].[Region].[All]" dimensionUniqueName="[CustomerData]" displayFolder="" count="2" memberValueDatatype="130" unbalanced="0"/>
    <cacheHierarchy uniqueName="[CustomerData].[MembershipLevel]" caption="MembershipLevel" attribute="1" defaultMemberUniqueName="[CustomerData].[MembershipLevel].[All]" allUniqueName="[CustomerData].[MembershipLevel].[All]" dimensionUniqueName="[CustomerData]" displayFolder="" count="0" memberValueDatatype="130" unbalanced="0"/>
    <cacheHierarchy uniqueName="[CustomerData].[AgeCategory]" caption="AgeCategory" attribute="1" defaultMemberUniqueName="[CustomerData].[AgeCategory].[All]" allUniqueName="[CustomerData].[AgeCategory].[All]" dimensionUniqueName="[CustomerData]" displayFolder="" count="0" memberValueDatatype="130" unbalanced="0"/>
    <cacheHierarchy uniqueName="[ProductData].[ProductID]" caption="ProductID" attribute="1" defaultMemberUniqueName="[ProductData].[ProductID].[All]" allUniqueName="[ProductData].[ProductID].[All]" dimensionUniqueName="[ProductData]" displayFolder="" count="0" memberValueDatatype="130" unbalanced="0"/>
    <cacheHierarchy uniqueName="[ProductData].[ProductCategory]" caption="ProductCategory" attribute="1" defaultMemberUniqueName="[ProductData].[ProductCategory].[All]" allUniqueName="[ProductData].[ProductCategory].[All]" dimensionUniqueName="[ProductData]" displayFolder="" count="2" memberValueDatatype="130" unbalanced="0"/>
    <cacheHierarchy uniqueName="[ProductData].[Supplier]" caption="Supplier" attribute="1" defaultMemberUniqueName="[ProductData].[Supplier].[All]" allUniqueName="[ProductData].[Supplier].[All]" dimensionUniqueName="[ProductData]" displayFolder="" count="0" memberValueDatatype="130" unbalanced="0"/>
    <cacheHierarchy uniqueName="[ProductData].[ProductCost]" caption="ProductCost" attribute="1" defaultMemberUniqueName="[ProductData].[ProductCost].[All]" allUniqueName="[ProductData].[ProductCost].[All]" dimensionUniqueName="[ProductData]" displayFolder="" count="0" memberValueDatatype="5" unbalanced="0"/>
    <cacheHierarchy uniqueName="[SalesData].[OrderID]" caption="OrderID" attribute="1" defaultMemberUniqueName="[SalesData].[OrderID].[All]" allUniqueName="[SalesData].[OrderID].[All]" dimensionUniqueName="[SalesData]" displayFolder="" count="0" memberValueDatatype="130" unbalanced="0"/>
    <cacheHierarchy uniqueName="[SalesData].[ProductID]" caption="ProductID" attribute="1" defaultMemberUniqueName="[SalesData].[ProductID].[All]" allUniqueName="[SalesData].[ProductID].[All]" dimensionUniqueName="[SalesData]" displayFolder="" count="0" memberValueDatatype="130" unbalanced="0"/>
    <cacheHierarchy uniqueName="[SalesData].[CustomerID]" caption="CustomerID" attribute="1" defaultMemberUniqueName="[SalesData].[CustomerID].[All]" allUniqueName="[SalesData].[CustomerID].[All]" dimensionUniqueName="[SalesData]" displayFolder="" count="0" memberValueDatatype="130" unbalanced="0"/>
    <cacheHierarchy uniqueName="[SalesData].[DateOfPurchase]" caption="DateOfPurchase" attribute="1" time="1" defaultMemberUniqueName="[SalesData].[DateOfPurchase].[All]" allUniqueName="[SalesData].[DateOfPurchase].[All]" dimensionUniqueName="[SalesData]" displayFolder="" count="0" memberValueDatatype="7" unbalanced="0"/>
    <cacheHierarchy uniqueName="[SalesData].[QuantitySold]" caption="QuantitySold" attribute="1" defaultMemberUniqueName="[SalesData].[QuantitySold].[All]" allUniqueName="[SalesData].[QuantitySold].[All]" dimensionUniqueName="[SalesData]" displayFolder="" count="0" memberValueDatatype="20" unbalanced="0"/>
    <cacheHierarchy uniqueName="[SalesData].[Price]" caption="Price" attribute="1" defaultMemberUniqueName="[SalesData].[Price].[All]" allUniqueName="[SalesData].[Price].[All]" dimensionUniqueName="[SalesData]" displayFolder="" count="0" memberValueDatatype="5" unbalanced="0"/>
    <cacheHierarchy uniqueName="[SalesData].[Revenue]" caption="Revenue" attribute="1" defaultMemberUniqueName="[SalesData].[Revenue].[All]" allUniqueName="[SalesData].[Revenue].[All]" dimensionUniqueName="[SalesData]" displayFolder="" count="0" memberValueDatatype="5" unbalanced="0"/>
    <cacheHierarchy uniqueName="[SalesData].[DateOfPurchase (Month)]" caption="DateOfPurchase (Month)" attribute="1" defaultMemberUniqueName="[SalesData].[DateOfPurchase (Month)].[All]" allUniqueName="[SalesData].[DateOfPurchase (Month)].[All]" dimensionUniqueName="[SalesData]" displayFolder="" count="0" memberValueDatatype="130" unbalanced="0"/>
    <cacheHierarchy uniqueName="[SalesData].[DateOfPurchase (Quarter)]" caption="DateOfPurchase (Quarter)" attribute="1" defaultMemberUniqueName="[SalesData].[DateOfPurchase (Quarter)].[All]" allUniqueName="[SalesData].[DateOfPurchase (Quarter)].[All]" dimensionUniqueName="[SalesData]" displayFolder="" count="0" memberValueDatatype="130" unbalanced="0"/>
    <cacheHierarchy uniqueName="[SalesData].[DateOfPurchase (Year)]" caption="DateOfPurchase (Year)" attribute="1" defaultMemberUniqueName="[SalesData].[DateOfPurchase (Year)].[All]" allUniqueName="[SalesData].[DateOfPurchase (Year)].[All]" dimensionUniqueName="[SalesData]" displayFolder="" count="0" memberValueDatatype="130" unbalanced="0"/>
    <cacheHierarchy uniqueName="[SalesData].[Year-Quarter]" caption="Year-Quarter" attribute="1" defaultMemberUniqueName="[SalesData].[Year-Quarter].[All]" allUniqueName="[SalesData].[Year-Quarter].[All]" dimensionUniqueName="[SalesData]" displayFolder="" count="2" memberValueDatatype="130" unbalanced="0"/>
    <cacheHierarchy uniqueName="[SalesData].[DateOfPurchase (Month Index)]" caption="DateOfPurchase (Month Index)" attribute="1" defaultMemberUniqueName="[SalesData].[DateOfPurchase (Month Index)].[All]" allUniqueName="[SalesData].[DateOfPurchase (Month Index)].[All]" dimensionUniqueName="[SalesData]" displayFolder="" count="0" memberValueDatatype="20" unbalanced="0" hidden="1"/>
    <cacheHierarchy uniqueName="[Measures].[__XL_Count Table2]" caption="__XL_Count Table2" measure="1" displayFolder="" measureGroup="CustomerData" count="0" hidden="1"/>
    <cacheHierarchy uniqueName="[Measures].[__XL_Count Table2_2]" caption="__XL_Count Table2_2" measure="1" displayFolder="" measureGroup="SalesData" count="0" hidden="1"/>
    <cacheHierarchy uniqueName="[Measures].[__XL_Count Table2_1]" caption="__XL_Count Table2_1" measure="1" displayFolder="" measureGroup="ProductData" count="0" hidden="1"/>
    <cacheHierarchy uniqueName="[Measures].[__No measures defined]" caption="__No measures defined" measure="1" displayFolder="" count="0" hidden="1"/>
    <cacheHierarchy uniqueName="[Measures].[Sum of QuantitySold]" caption="Sum of QuantitySold" measure="1" displayFolder="" measureGroup="SalesData" count="0" hidden="1">
      <extLst>
        <ext xmlns:x15="http://schemas.microsoft.com/office/spreadsheetml/2010/11/main" uri="{B97F6D7D-B522-45F9-BDA1-12C45D357490}">
          <x15:cacheHierarchy aggregatedColumn="14"/>
        </ext>
      </extLst>
    </cacheHierarchy>
    <cacheHierarchy uniqueName="[Measures].[Sum of Revenue]" caption="Sum of Revenue" measure="1" displayFolder="" measureGroup="SalesData" count="0" hidden="1">
      <extLst>
        <ext xmlns:x15="http://schemas.microsoft.com/office/spreadsheetml/2010/11/main" uri="{B97F6D7D-B522-45F9-BDA1-12C45D357490}">
          <x15:cacheHierarchy aggregatedColumn="16"/>
        </ext>
      </extLst>
    </cacheHierarchy>
    <cacheHierarchy uniqueName="[Measures].[Count of ProductID]" caption="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Distinct Count of ProductID]" caption="Distinct Count of ProductID" measure="1" displayFolder="" measureGroup="SalesData" count="0" hidden="1">
      <extLst>
        <ext xmlns:x15="http://schemas.microsoft.com/office/spreadsheetml/2010/11/main" uri="{B97F6D7D-B522-45F9-BDA1-12C45D357490}">
          <x15:cacheHierarchy aggregatedColumn="11"/>
        </ext>
      </extLst>
    </cacheHierarchy>
    <cacheHierarchy uniqueName="[Measures].[Count of ProductID 2]" caption="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Distinct Count of ProductID 2]" caption="Distinct Count of ProductID 2" measure="1" displayFolder="" measureGroup="ProductData" count="0" hidden="1">
      <extLst>
        <ext xmlns:x15="http://schemas.microsoft.com/office/spreadsheetml/2010/11/main" uri="{B97F6D7D-B522-45F9-BDA1-12C45D357490}">
          <x15:cacheHierarchy aggregatedColumn="6"/>
        </ext>
      </extLst>
    </cacheHierarchy>
    <cacheHierarchy uniqueName="[Measures].[Count of CustomerID]" caption="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Distinct Count of CustomerID]" caption="Distinct Count of CustomerID" measure="1" displayFolder="" measureGroup="SalesData"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SalesData" count="0" hidden="1">
      <extLst>
        <ext xmlns:x15="http://schemas.microsoft.com/office/spreadsheetml/2010/11/main" uri="{B97F6D7D-B522-45F9-BDA1-12C45D357490}">
          <x15:cacheHierarchy aggregatedColumn="16"/>
        </ext>
      </extLst>
    </cacheHierarchy>
    <cacheHierarchy uniqueName="[Measures].[Count of CustomerID 2]" caption="Count of CustomerID 2" measure="1" displayFolder="" measureGroup="CustomerData" count="0" hidden="1">
      <extLst>
        <ext xmlns:x15="http://schemas.microsoft.com/office/spreadsheetml/2010/11/main" uri="{B97F6D7D-B522-45F9-BDA1-12C45D357490}">
          <x15:cacheHierarchy aggregatedColumn="0"/>
        </ext>
      </extLst>
    </cacheHierarchy>
    <cacheHierarchy uniqueName="[Measures].[Count of ProductCategory]" caption="Count of ProductCategory" measure="1" displayFolder="" measureGroup="ProductData"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93880864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3EBDF1-2316-4904-9841-2A1DFEC53B0F}" name="PivotTable9" cacheId="35" applyNumberFormats="0" applyBorderFormats="0" applyFontFormats="0" applyPatternFormats="0" applyAlignmentFormats="0" applyWidthHeightFormats="1" dataCaption="Values" tag="a053843a-5b3a-4992-bffa-a92929026e08" updatedVersion="8" minRefreshableVersion="3" useAutoFormatting="1" subtotalHiddenItems="1" itemPrintTitles="1" createdVersion="8" indent="0" outline="1" outlineData="1" multipleFieldFilters="0" chartFormat="25">
  <location ref="A35:G43" firstHeaderRow="1" firstDataRow="2" firstDataCol="1"/>
  <pivotFields count="6">
    <pivotField axis="axisCol" allDrilled="1" subtotalTop="0" showAll="0" dataSourceSort="1" defaultAttributeDrillState="1">
      <items count="6">
        <item x="0"/>
        <item x="1"/>
        <item x="2"/>
        <item x="3"/>
        <item x="4"/>
        <item t="default"/>
      </items>
    </pivotField>
    <pivotField dataField="1" subtotalTop="0" showAll="0"/>
    <pivotField axis="axisRow" allDrilled="1" subtotalTop="0" showAll="0" dataSourceSort="1" defaultAttributeDrillState="1">
      <items count="2">
        <item x="0"/>
        <item t="default"/>
      </items>
    </pivotField>
    <pivotField axis="axisRow" allDrilled="1" subtotalTop="0" showAll="0" dataSourceSort="1" defaultAttributeDrillState="1">
      <items count="5">
        <item x="0"/>
        <item x="1"/>
        <item x="2"/>
        <item x="3"/>
        <item t="default"/>
      </items>
    </pivotField>
    <pivotField allDrilled="1" subtotalTop="0" showAll="0" dataSourceSort="1" defaultAttributeDrillState="1"/>
    <pivotField allDrilled="1" subtotalTop="0" showAll="0" dataSourceSort="1" defaultAttributeDrillState="1"/>
  </pivotFields>
  <rowFields count="2">
    <field x="2"/>
    <field x="3"/>
  </rowFields>
  <rowItems count="7">
    <i>
      <x/>
    </i>
    <i r="1">
      <x/>
    </i>
    <i r="1">
      <x v="1"/>
    </i>
    <i r="1">
      <x v="2"/>
    </i>
    <i r="1">
      <x v="3"/>
    </i>
    <i t="default">
      <x/>
    </i>
    <i t="grand">
      <x/>
    </i>
  </rowItems>
  <colFields count="1">
    <field x="0"/>
  </colFields>
  <colItems count="6">
    <i>
      <x/>
    </i>
    <i>
      <x v="1"/>
    </i>
    <i>
      <x v="2"/>
    </i>
    <i>
      <x v="3"/>
    </i>
    <i>
      <x v="4"/>
    </i>
    <i t="grand">
      <x/>
    </i>
  </colItems>
  <dataFields count="1">
    <dataField name="Sum of QuantitySold" fld="1" baseField="0" baseItem="0"/>
  </dataFields>
  <formats count="2">
    <format dxfId="1">
      <pivotArea grandRow="1" outline="0" collapsedLevelsAreSubtotals="1" fieldPosition="0"/>
    </format>
    <format dxfId="0">
      <pivotArea field="0" grandCol="1" outline="0" collapsedLevelsAreSubtotals="1" axis="axisCol" fieldPosition="0">
        <references count="1">
          <reference field="4294967294" count="1" selected="0">
            <x v="0"/>
          </reference>
        </references>
      </pivotArea>
    </format>
  </formats>
  <chartFormats count="5">
    <chartFormat chart="21" format="10" series="1">
      <pivotArea type="data" outline="0" fieldPosition="0">
        <references count="2">
          <reference field="4294967294" count="1" selected="0">
            <x v="0"/>
          </reference>
          <reference field="0" count="1" selected="0">
            <x v="0"/>
          </reference>
        </references>
      </pivotArea>
    </chartFormat>
    <chartFormat chart="21" format="11" series="1">
      <pivotArea type="data" outline="0" fieldPosition="0">
        <references count="2">
          <reference field="4294967294" count="1" selected="0">
            <x v="0"/>
          </reference>
          <reference field="0" count="1" selected="0">
            <x v="1"/>
          </reference>
        </references>
      </pivotArea>
    </chartFormat>
    <chartFormat chart="21" format="12" series="1">
      <pivotArea type="data" outline="0" fieldPosition="0">
        <references count="2">
          <reference field="4294967294" count="1" selected="0">
            <x v="0"/>
          </reference>
          <reference field="0" count="1" selected="0">
            <x v="2"/>
          </reference>
        </references>
      </pivotArea>
    </chartFormat>
    <chartFormat chart="21" format="13" series="1">
      <pivotArea type="data" outline="0" fieldPosition="0">
        <references count="2">
          <reference field="4294967294" count="1" selected="0">
            <x v="0"/>
          </reference>
          <reference field="0" count="1" selected="0">
            <x v="3"/>
          </reference>
        </references>
      </pivotArea>
    </chartFormat>
    <chartFormat chart="21" format="14" series="1">
      <pivotArea type="data" outline="0" fieldPosition="0">
        <references count="2">
          <reference field="4294967294" count="1" selected="0">
            <x v="0"/>
          </reference>
          <reference field="0" count="1" selected="0">
            <x v="4"/>
          </reference>
        </references>
      </pivotArea>
    </chartFormat>
  </chartFormats>
  <pivotHierarchies count="37">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istinct Count of ProductID"/>
    <pivotHierarchy dragToData="1"/>
    <pivotHierarchy dragToData="1" caption="Unique Count of Product Sold"/>
    <pivotHierarchy dragToData="1"/>
    <pivotHierarchy dragToData="1" caption="Distinct Count of CustomerID"/>
    <pivotHierarchy dragToData="1"/>
    <pivotHierarchy dragToData="1"/>
    <pivotHierarchy dragToData="1"/>
  </pivotHierarchies>
  <pivotTableStyleInfo name="PivotStyleMedium2" showRowHeaders="0" showColHeaders="1" showRowStripes="0" showColStripes="0" showLastColumn="1"/>
  <rowHierarchiesUsage count="2">
    <rowHierarchyUsage hierarchyUsage="19"/>
    <rowHierarchyUsage hierarchyUsage="18"/>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Data]"/>
        <x15:activeTabTopLevelEntity name="[SalesData]"/>
        <x15:activeTabTopLevelEntity name="[ProductData]"/>
      </x15:pivotTableUISettings>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2E2E53E-DBA9-41F5-8895-2EF4EC042649}" name="PivotTable5" cacheId="32" applyNumberFormats="0" applyBorderFormats="0" applyFontFormats="0" applyPatternFormats="0" applyAlignmentFormats="0" applyWidthHeightFormats="1" dataCaption="Values" tag="46971f25-46f0-4f8c-a7a9-8ccd120519cd" updatedVersion="8" minRefreshableVersion="3" useAutoFormatting="1" subtotalHiddenItems="1" rowGrandTotals="0" colGrandTotals="0" itemPrintTitles="1" createdVersion="8" indent="0" outline="1" outlineData="1" multipleFieldFilters="0" chartFormat="29">
  <location ref="E10:G14" firstHeaderRow="0" firstDataRow="1" firstDataCol="1"/>
  <pivotFields count="5">
    <pivotField axis="axisRow" allDrilled="1" subtotalTop="0" showAll="0" sortType="ascending" defaultAttributeDrillState="1">
      <items count="5">
        <item x="0"/>
        <item x="1"/>
        <item x="2"/>
        <item x="3"/>
        <item t="default"/>
      </items>
    </pivotField>
    <pivotField dataField="1" subtotalTop="0" showAll="0"/>
    <pivotField dataField="1" subtotalTop="0" showAll="0"/>
    <pivotField allDrilled="1" subtotalTop="0" showAll="0" dataSourceSort="1" defaultAttributeDrillState="1"/>
    <pivotField allDrilled="1" subtotalTop="0" showAll="0" dataSourceSort="1" defaultAttributeDrillState="1"/>
  </pivotFields>
  <rowFields count="1">
    <field x="0"/>
  </rowFields>
  <rowItems count="4">
    <i>
      <x/>
    </i>
    <i>
      <x v="1"/>
    </i>
    <i>
      <x v="2"/>
    </i>
    <i>
      <x v="3"/>
    </i>
  </rowItems>
  <colFields count="1">
    <field x="-2"/>
  </colFields>
  <colItems count="2">
    <i>
      <x/>
    </i>
    <i i="1">
      <x v="1"/>
    </i>
  </colItems>
  <dataFields count="2">
    <dataField name="△ Revenue" fld="1" showDataAs="percentDiff" baseField="0" baseItem="1048828" numFmtId="167"/>
    <dataField name="△ Quantity Sold" fld="2" showDataAs="percentDiff" baseField="0" baseItem="1048828" numFmtId="167"/>
  </dataFields>
  <formats count="7">
    <format dxfId="8">
      <pivotArea grandRow="1" outline="0" collapsedLevelsAreSubtotals="1" fieldPosition="0"/>
    </format>
    <format dxfId="7">
      <pivotArea collapsedLevelsAreSubtotals="1" fieldPosition="0">
        <references count="2">
          <reference field="4294967294" count="1" selected="0">
            <x v="0"/>
          </reference>
          <reference field="0" count="1">
            <x v="1048832"/>
          </reference>
        </references>
      </pivotArea>
    </format>
    <format dxfId="6">
      <pivotArea outline="0" collapsedLevelsAreSubtotals="1" fieldPosition="0">
        <references count="1">
          <reference field="4294967294" count="1" selected="0">
            <x v="0"/>
          </reference>
        </references>
      </pivotArea>
    </format>
    <format dxfId="5">
      <pivotArea outline="0" collapsedLevelsAreSubtotals="1" fieldPosition="0">
        <references count="1">
          <reference field="4294967294" count="1" selected="0">
            <x v="1"/>
          </reference>
        </references>
      </pivotArea>
    </format>
    <format dxfId="4">
      <pivotArea outline="0" fieldPosition="0">
        <references count="1">
          <reference field="4294967294" count="1">
            <x v="0"/>
          </reference>
        </references>
      </pivotArea>
    </format>
    <format dxfId="3">
      <pivotArea collapsedLevelsAreSubtotals="1" fieldPosition="0">
        <references count="2">
          <reference field="4294967294" count="1" selected="0">
            <x v="1"/>
          </reference>
          <reference field="0" count="1">
            <x v="1048832"/>
          </reference>
        </references>
      </pivotArea>
    </format>
    <format dxfId="2">
      <pivotArea outline="0" fieldPosition="0">
        <references count="1">
          <reference field="4294967294" count="1">
            <x v="1"/>
          </reference>
        </references>
      </pivotArea>
    </format>
  </formats>
  <pivotHierarchies count="37">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Quantity Sold Change (%)"/>
    <pivotHierarchy dragToData="1" caption="△ Revenue"/>
    <pivotHierarchy dragToData="1"/>
    <pivotHierarchy dragToData="1" caption="Distinct Count of ProductID"/>
    <pivotHierarchy dragToData="1"/>
    <pivotHierarchy dragToData="1" caption="Distinct Count of ProductID2"/>
    <pivotHierarchy dragToData="1"/>
    <pivotHierarchy dragToData="1" caption="Distinct Count of CustomerID"/>
    <pivotHierarchy dragToData="1" caption="Average of Revenue"/>
    <pivotHierarchy dragToData="1"/>
    <pivotHierarchy dragToData="1"/>
  </pivotHierarchies>
  <pivotTableStyleInfo name="PivotStyleMedium2" showRowHeaders="0" showColHeaders="1" showRowStripes="0"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Data]"/>
        <x15:activeTabTopLevelEntity name="[SalesData]"/>
        <x15:activeTabTopLevelEntity name="[ProductData]"/>
      </x15:pivotTableUISettings>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5C536E-DE0C-4B59-B5BA-8AC9EC28A11B}" name="PivotForLineChartRevQ" cacheId="29" applyNumberFormats="0" applyBorderFormats="0" applyFontFormats="0" applyPatternFormats="0" applyAlignmentFormats="0" applyWidthHeightFormats="1" dataCaption="Values" tag="1ab4d060-0d02-4932-8915-6a9c12bd3427" updatedVersion="8" minRefreshableVersion="3" useAutoFormatting="1" subtotalHiddenItems="1" itemPrintTitles="1" createdVersion="8" indent="0" outline="1" outlineData="1" multipleFieldFilters="0" chartFormat="35">
  <location ref="A10:C17" firstHeaderRow="0" firstDataRow="1" firstDataCol="1" rowPageCount="1" colPageCount="1"/>
  <pivotFields count="7">
    <pivotField dataField="1" subtotalTop="0" showAll="0"/>
    <pivotField dataField="1" subtotalTop="0" showAll="0"/>
    <pivotField axis="axisPage" allDrilled="1" subtotalTop="0" showAll="0" dataSourceSort="1" defaultAttributeDrillState="1">
      <items count="1">
        <item t="default"/>
      </items>
    </pivotField>
    <pivotField axis="axisRow" allDrilled="1" subtotalTop="0" showAll="0" dataSourceSort="1" defaultAttributeDrillState="1">
      <items count="2">
        <item x="0"/>
        <item t="default"/>
      </items>
    </pivotField>
    <pivotField axis="axisRow" allDrilled="1" subtotalTop="0" showAll="0" dataSourceSort="1" defaultAttributeDrillState="1">
      <items count="5">
        <item x="0"/>
        <item x="1"/>
        <item x="2"/>
        <item x="3"/>
        <item t="default"/>
      </items>
    </pivotField>
    <pivotField allDrilled="1" subtotalTop="0" showAll="0" dataSourceSort="1" defaultAttributeDrillState="1"/>
    <pivotField allDrilled="1" subtotalTop="0" showAll="0" dataSourceSort="1" defaultAttributeDrillState="1"/>
  </pivotFields>
  <rowFields count="2">
    <field x="3"/>
    <field x="4"/>
  </rowFields>
  <rowItems count="7">
    <i>
      <x/>
    </i>
    <i r="1">
      <x/>
    </i>
    <i r="1">
      <x v="1"/>
    </i>
    <i r="1">
      <x v="2"/>
    </i>
    <i r="1">
      <x v="3"/>
    </i>
    <i t="default">
      <x/>
    </i>
    <i t="grand">
      <x/>
    </i>
  </rowItems>
  <colFields count="1">
    <field x="-2"/>
  </colFields>
  <colItems count="2">
    <i>
      <x/>
    </i>
    <i i="1">
      <x v="1"/>
    </i>
  </colItems>
  <pageFields count="1">
    <pageField fld="2" hier="20" name="[SalesData].[Year-Quarter].[All]" cap="All"/>
  </pageFields>
  <dataFields count="2">
    <dataField name="Revenue" fld="0" baseField="0" baseItem="0"/>
    <dataField name="Quantity Sold" fld="1" baseField="0" baseItem="0" numFmtId="1"/>
  </dataFields>
  <formats count="2">
    <format dxfId="10">
      <pivotArea grandRow="1" outline="0" collapsedLevelsAreSubtotals="1" fieldPosition="0"/>
    </format>
    <format dxfId="9">
      <pivotArea outline="0" fieldPosition="0">
        <references count="1">
          <reference field="4294967294" count="1">
            <x v="1"/>
          </reference>
        </references>
      </pivotArea>
    </format>
  </formats>
  <chartFormats count="6">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16"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1"/>
          </reference>
        </references>
      </pivotArea>
    </chartFormat>
    <chartFormat chart="26" format="4"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1"/>
          </reference>
        </references>
      </pivotArea>
    </chartFormat>
  </chartFormats>
  <pivotHierarchies count="37">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istinct Count of ProductID"/>
    <pivotHierarchy dragToData="1"/>
    <pivotHierarchy dragToData="1" caption="Distinct Count of ProductID2"/>
    <pivotHierarchy dragToData="1"/>
    <pivotHierarchy dragToData="1" caption="Distinct Count of CustomerID"/>
    <pivotHierarchy dragToData="1"/>
    <pivotHierarchy dragToData="1"/>
    <pivotHierarchy dragToData="1"/>
  </pivotHierarchies>
  <pivotTableStyleInfo name="PivotStyleMedium2" showRowHeaders="0" showColHeaders="1" showRowStripes="0" showColStripes="0" showLastColumn="1"/>
  <rowHierarchiesUsage count="2">
    <rowHierarchyUsage hierarchyUsage="19"/>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Data]"/>
        <x15:activeTabTopLevelEntity name="[SalesData]"/>
        <x15:activeTabTopLevelEntity name="[ProductData]"/>
      </x15:pivotTableUISettings>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F0FA42-3387-491C-A32E-12219BC6DD4F}" name="PivotMetrics" cacheId="44" applyNumberFormats="0" applyBorderFormats="0" applyFontFormats="0" applyPatternFormats="0" applyAlignmentFormats="0" applyWidthHeightFormats="1" dataCaption="Values" tag="b56c32f7-b162-4420-8220-3ae282e20025" updatedVersion="8" minRefreshableVersion="3" useAutoFormatting="1" subtotalHiddenItems="1" itemPrintTitles="1" createdVersion="8" indent="0" outline="1" outlineData="1" multipleFieldFilters="0" chartFormat="17">
  <location ref="A3:F4" firstHeaderRow="0" firstDataRow="1" firstDataCol="0"/>
  <pivotFields count="9">
    <pivotField dataField="1" subtotalTop="0" showAll="0"/>
    <pivotField dataField="1" subtotalTop="0" showAll="0"/>
    <pivotField dataField="1" subtotalTop="0" showAll="0"/>
    <pivotField dataField="1" subtotalTop="0" showAll="0"/>
    <pivotField dataField="1" subtotalTop="0" showAll="0"/>
    <pivotField dataField="1" subtotalTop="0" showAll="0"/>
    <pivotField allDrilled="1" subtotalTop="0" showAll="0" dataSourceSort="1" defaultAttributeDrillState="1"/>
    <pivotField allDrilled="1" subtotalTop="0" showAll="0" dataSourceSort="1" defaultAttributeDrillState="1"/>
    <pivotField allDrilled="1" subtotalTop="0" showAll="0" dataSourceSort="1" defaultAttributeDrillState="1"/>
  </pivotFields>
  <rowItems count="1">
    <i/>
  </rowItems>
  <colFields count="1">
    <field x="-2"/>
  </colFields>
  <colItems count="6">
    <i>
      <x/>
    </i>
    <i i="1">
      <x v="1"/>
    </i>
    <i i="2">
      <x v="2"/>
    </i>
    <i i="3">
      <x v="3"/>
    </i>
    <i i="4">
      <x v="4"/>
    </i>
    <i i="5">
      <x v="5"/>
    </i>
  </colItems>
  <dataFields count="6">
    <dataField name="Sum of Revenue" fld="0" baseField="0" baseItem="0"/>
    <dataField name="Sum of QuantitySold" fld="1" baseField="0" baseItem="0" numFmtId="1"/>
    <dataField name="Count of CustomerID" fld="2" subtotal="count" baseField="0" baseItem="0" numFmtId="168"/>
    <dataField name="Distinct Count of CustomerID" fld="3" subtotal="count" baseField="0" baseItem="1" numFmtId="168">
      <extLst>
        <ext xmlns:x15="http://schemas.microsoft.com/office/spreadsheetml/2010/11/main" uri="{FABC7310-3BB5-11E1-824E-6D434824019B}">
          <x15:dataField isCountDistinct="1"/>
        </ext>
      </extLst>
    </dataField>
    <dataField name="Count of ProductID" fld="4" subtotal="count" baseField="0" baseItem="4" numFmtId="1"/>
    <dataField name="Distinct Count of ProductID" fld="5" subtotal="count" baseField="0" baseItem="1" numFmtId="168">
      <extLst>
        <ext xmlns:x15="http://schemas.microsoft.com/office/spreadsheetml/2010/11/main" uri="{FABC7310-3BB5-11E1-824E-6D434824019B}">
          <x15:dataField isCountDistinct="1"/>
        </ext>
      </extLst>
    </dataField>
  </dataFields>
  <formats count="4">
    <format dxfId="14">
      <pivotArea grandRow="1" outline="0" collapsedLevelsAreSubtotals="1" fieldPosition="0"/>
    </format>
    <format dxfId="13">
      <pivotArea outline="0" fieldPosition="0">
        <references count="1">
          <reference field="4294967294" count="1">
            <x v="1"/>
          </reference>
        </references>
      </pivotArea>
    </format>
    <format dxfId="12">
      <pivotArea outline="0" collapsedLevelsAreSubtotals="1" fieldPosition="0">
        <references count="1">
          <reference field="4294967294" count="3" selected="0">
            <x v="2"/>
            <x v="3"/>
            <x v="5"/>
          </reference>
        </references>
      </pivotArea>
    </format>
    <format dxfId="11">
      <pivotArea outline="0" fieldPosition="0">
        <references count="1">
          <reference field="4294967294" count="1">
            <x v="4"/>
          </reference>
        </references>
      </pivotArea>
    </format>
  </formats>
  <chartFormats count="4">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16"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1"/>
          </reference>
        </references>
      </pivotArea>
    </chartFormat>
  </chartFormats>
  <pivotHierarchies count="37">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istinct Count of ProductID"/>
    <pivotHierarchy dragToData="1"/>
    <pivotHierarchy dragToData="1" caption="Unique Count of Product Sold"/>
    <pivotHierarchy dragToData="1"/>
    <pivotHierarchy dragToData="1" caption="Distinct Count of CustomerID"/>
    <pivotHierarchy dragToData="1"/>
    <pivotHierarchy dragToData="1"/>
    <pivotHierarchy dragToData="1"/>
  </pivotHierarchies>
  <pivotTableStyleInfo name="PivotStyleMedium2" showRowHeaders="0"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Data]"/>
        <x15:activeTabTopLevelEntity name="[SalesData]"/>
        <x15:activeTabTopLevelEntity name="[ProductData]"/>
      </x15:pivotTableUISettings>
    </ext>
    <ext xmlns:xpdl="http://schemas.microsoft.com/office/spreadsheetml/2016/pivotdefaultlayout" uri="{747A6164-185A-40DC-8AA5-F01512510D54}">
      <xpdl:pivotTableDefinition16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96A5606-7DAA-47AC-8F18-4C25C66479A0}" name="PivotTable20" cacheId="41" applyNumberFormats="0" applyBorderFormats="0" applyFontFormats="0" applyPatternFormats="0" applyAlignmentFormats="0" applyWidthHeightFormats="1" dataCaption="Values" tag="78e21f30-4f37-4d0c-9611-01116068fa1c" updatedVersion="8" minRefreshableVersion="3" useAutoFormatting="1" subtotalHiddenItems="1" itemPrintTitles="1" createdVersion="8" indent="0" outline="1" outlineData="1" multipleFieldFilters="0" chartFormat="28">
  <location ref="I43:J48" firstHeaderRow="1" firstDataRow="1" firstDataCol="1"/>
  <pivotFields count="4">
    <pivotField dataField="1" subtotalTop="0" showAll="0"/>
    <pivotField axis="axisRow" allDrilled="1" subtotalTop="0" showAll="0" dataSourceSort="1" defaultAttributeDrillState="1">
      <items count="5">
        <item x="0"/>
        <item x="1"/>
        <item x="2"/>
        <item x="3"/>
        <item t="default"/>
      </items>
    </pivotField>
    <pivotField allDrilled="1" subtotalTop="0" showAll="0" dataSourceSort="1" defaultAttributeDrillState="1"/>
    <pivotField allDrilled="1" subtotalTop="0" showAll="0" dataSourceSort="1" defaultAttributeDrillState="1"/>
  </pivotFields>
  <rowFields count="1">
    <field x="1"/>
  </rowFields>
  <rowItems count="5">
    <i>
      <x/>
    </i>
    <i>
      <x v="1"/>
    </i>
    <i>
      <x v="2"/>
    </i>
    <i>
      <x v="3"/>
    </i>
    <i t="grand">
      <x/>
    </i>
  </rowItems>
  <colItems count="1">
    <i/>
  </colItems>
  <dataFields count="1">
    <dataField name="Sum of QuantitySold" fld="0" baseField="0" baseItem="0"/>
  </dataFields>
  <formats count="1">
    <format dxfId="15">
      <pivotArea grandRow="1" outline="0" collapsedLevelsAreSubtotals="1" fieldPosition="0"/>
    </format>
  </formats>
  <chartFormats count="5">
    <chartFormat chart="27" format="6" series="1">
      <pivotArea type="data" outline="0" fieldPosition="0">
        <references count="1">
          <reference field="4294967294" count="1" selected="0">
            <x v="0"/>
          </reference>
        </references>
      </pivotArea>
    </chartFormat>
    <chartFormat chart="27" format="7">
      <pivotArea type="data" outline="0" fieldPosition="0">
        <references count="2">
          <reference field="4294967294" count="1" selected="0">
            <x v="0"/>
          </reference>
          <reference field="1" count="1" selected="0">
            <x v="0"/>
          </reference>
        </references>
      </pivotArea>
    </chartFormat>
    <chartFormat chart="27" format="8">
      <pivotArea type="data" outline="0" fieldPosition="0">
        <references count="2">
          <reference field="4294967294" count="1" selected="0">
            <x v="0"/>
          </reference>
          <reference field="1" count="1" selected="0">
            <x v="1"/>
          </reference>
        </references>
      </pivotArea>
    </chartFormat>
    <chartFormat chart="27" format="9">
      <pivotArea type="data" outline="0" fieldPosition="0">
        <references count="2">
          <reference field="4294967294" count="1" selected="0">
            <x v="0"/>
          </reference>
          <reference field="1" count="1" selected="0">
            <x v="2"/>
          </reference>
        </references>
      </pivotArea>
    </chartFormat>
    <chartFormat chart="27" format="10">
      <pivotArea type="data" outline="0" fieldPosition="0">
        <references count="2">
          <reference field="4294967294" count="1" selected="0">
            <x v="0"/>
          </reference>
          <reference field="1" count="1" selected="0">
            <x v="3"/>
          </reference>
        </references>
      </pivotArea>
    </chartFormat>
  </chartFormats>
  <pivotHierarchies count="37">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istinct Count of ProductID"/>
    <pivotHierarchy dragToData="1"/>
    <pivotHierarchy dragToData="1" caption="Unique Count of Product Sold"/>
    <pivotHierarchy dragToData="1"/>
    <pivotHierarchy dragToData="1" caption="Distinct Count of CustomerID"/>
    <pivotHierarchy dragToData="1"/>
    <pivotHierarchy dragToData="1"/>
    <pivotHierarchy dragToData="1"/>
  </pivotHierarchies>
  <pivotTableStyleInfo name="PivotStyleMedium2" showRowHeaders="0"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Data]"/>
        <x15:activeTabTopLevelEntity name="[SalesData]"/>
        <x15:activeTabTopLevelEntity name="[ProductData]"/>
      </x15:pivotTableUISettings>
    </ext>
    <ext xmlns:xpdl="http://schemas.microsoft.com/office/spreadsheetml/2016/pivotdefaultlayout" uri="{747A6164-185A-40DC-8AA5-F01512510D54}">
      <xpdl:pivotTableDefinition16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5813B6D-AF62-4314-8534-727F87AE221C}" name="PivotTable10" cacheId="38" applyNumberFormats="0" applyBorderFormats="0" applyFontFormats="0" applyPatternFormats="0" applyAlignmentFormats="0" applyWidthHeightFormats="1" dataCaption="Values" tag="819ebeab-c1e8-4379-a46d-4434eead6d06" updatedVersion="8" minRefreshableVersion="3" useAutoFormatting="1" subtotalHiddenItems="1" itemPrintTitles="1" createdVersion="8" indent="0" outline="1" outlineData="1" multipleFieldFilters="0" chartFormat="23">
  <location ref="I35:O41" firstHeaderRow="1" firstDataRow="2" firstDataCol="1"/>
  <pivotFields count="5">
    <pivotField axis="axisRow" allDrilled="1" subtotalTop="0" showAll="0" defaultAttributeDrillState="1">
      <items count="5">
        <item x="2"/>
        <item x="3"/>
        <item x="0"/>
        <item x="1"/>
        <item t="default"/>
      </items>
    </pivotField>
    <pivotField axis="axisCol" allDrilled="1" subtotalTop="0" showAll="0" dataSourceSort="1" defaultAttributeDrillState="1">
      <items count="6">
        <item x="0"/>
        <item x="1"/>
        <item x="2"/>
        <item x="3"/>
        <item x="4"/>
        <item t="default"/>
      </items>
    </pivotField>
    <pivotField dataField="1" subtotalTop="0" showAll="0"/>
    <pivotField allDrilled="1" subtotalTop="0" showAll="0" dataSourceSort="1" defaultAttributeDrillState="1"/>
    <pivotField allDrilled="1" subtotalTop="0" showAll="0" dataSourceSort="1" defaultAttributeDrillState="1"/>
  </pivotFields>
  <rowFields count="1">
    <field x="0"/>
  </rowFields>
  <rowItems count="5">
    <i>
      <x/>
    </i>
    <i>
      <x v="1"/>
    </i>
    <i>
      <x v="2"/>
    </i>
    <i>
      <x v="3"/>
    </i>
    <i t="grand">
      <x/>
    </i>
  </rowItems>
  <colFields count="1">
    <field x="1"/>
  </colFields>
  <colItems count="6">
    <i>
      <x/>
    </i>
    <i>
      <x v="1"/>
    </i>
    <i>
      <x v="2"/>
    </i>
    <i>
      <x v="3"/>
    </i>
    <i>
      <x v="4"/>
    </i>
    <i t="grand">
      <x/>
    </i>
  </colItems>
  <dataFields count="1">
    <dataField name="Sum of QuantitySold" fld="2" baseField="0" baseItem="0"/>
  </dataFields>
  <formats count="1">
    <format dxfId="16">
      <pivotArea grandRow="1" outline="0" collapsedLevelsAreSubtotals="1" fieldPosition="0"/>
    </format>
  </formats>
  <chartFormats count="5">
    <chartFormat chart="22" format="15" series="1">
      <pivotArea type="data" outline="0" fieldPosition="0">
        <references count="2">
          <reference field="4294967294" count="1" selected="0">
            <x v="0"/>
          </reference>
          <reference field="1" count="1" selected="0">
            <x v="0"/>
          </reference>
        </references>
      </pivotArea>
    </chartFormat>
    <chartFormat chart="22" format="16" series="1">
      <pivotArea type="data" outline="0" fieldPosition="0">
        <references count="2">
          <reference field="4294967294" count="1" selected="0">
            <x v="0"/>
          </reference>
          <reference field="1" count="1" selected="0">
            <x v="1"/>
          </reference>
        </references>
      </pivotArea>
    </chartFormat>
    <chartFormat chart="22" format="17" series="1">
      <pivotArea type="data" outline="0" fieldPosition="0">
        <references count="2">
          <reference field="4294967294" count="1" selected="0">
            <x v="0"/>
          </reference>
          <reference field="1" count="1" selected="0">
            <x v="2"/>
          </reference>
        </references>
      </pivotArea>
    </chartFormat>
    <chartFormat chart="22" format="18" series="1">
      <pivotArea type="data" outline="0" fieldPosition="0">
        <references count="2">
          <reference field="4294967294" count="1" selected="0">
            <x v="0"/>
          </reference>
          <reference field="1" count="1" selected="0">
            <x v="3"/>
          </reference>
        </references>
      </pivotArea>
    </chartFormat>
    <chartFormat chart="22" format="19" series="1">
      <pivotArea type="data" outline="0" fieldPosition="0">
        <references count="2">
          <reference field="4294967294" count="1" selected="0">
            <x v="0"/>
          </reference>
          <reference field="1" count="1" selected="0">
            <x v="4"/>
          </reference>
        </references>
      </pivotArea>
    </chartFormat>
  </chartFormats>
  <pivotHierarchies count="37">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istinct Count of ProductID"/>
    <pivotHierarchy dragToData="1"/>
    <pivotHierarchy dragToData="1" caption="Unique Count of Product Sold"/>
    <pivotHierarchy dragToData="1"/>
    <pivotHierarchy dragToData="1" caption="Distinct Count of CustomerID"/>
    <pivotHierarchy dragToData="1"/>
    <pivotHierarchy dragToData="1"/>
    <pivotHierarchy dragToData="1"/>
  </pivotHierarchies>
  <pivotTableStyleInfo name="PivotStyleMedium2" showRowHeaders="0" showColHeaders="1" showRowStripes="0" showColStripes="0" showLastColumn="1"/>
  <rowHierarchiesUsage count="1">
    <rowHierarchyUsage hierarchyUsage="5"/>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Data]"/>
        <x15:activeTabTopLevelEntity name="[SalesData]"/>
        <x15:activeTabTopLevelEntity name="[ProductData]"/>
      </x15:pivotTableUISettings>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Category" xr10:uid="{5C195D58-F70E-4629-B3DC-3072D3E77590}" sourceName="[ProductData].[ProductCategory]">
  <pivotTables>
    <pivotTable tabId="73" name="PivotMetrics"/>
    <pivotTable tabId="73" name="PivotForLineChartRevQ"/>
    <pivotTable tabId="73" name="PivotTable5"/>
    <pivotTable tabId="73" name="PivotTable9"/>
    <pivotTable tabId="73" name="PivotTable10"/>
    <pivotTable tabId="73" name="PivotTable20"/>
  </pivotTables>
  <data>
    <olap pivotCacheId="938808649">
      <levels count="2">
        <level uniqueName="[ProductData].[ProductCategory].[(All)]" sourceCaption="(All)" count="0"/>
        <level uniqueName="[ProductData].[ProductCategory].[ProductCategory]" sourceCaption="ProductCategory" count="5">
          <ranges>
            <range startItem="0">
              <i n="[ProductData].[ProductCategory].&amp;[Books]" c="Books"/>
              <i n="[ProductData].[ProductCategory].&amp;[Clothing]" c="Clothing"/>
              <i n="[ProductData].[ProductCategory].&amp;[Electronics]" c="Electronics"/>
              <i n="[ProductData].[ProductCategory].&amp;[Home]" c="Home"/>
              <i n="[ProductData].[ProductCategory].&amp;[Sports]" c="Sports"/>
            </range>
          </ranges>
        </level>
      </levels>
      <selections count="1">
        <selection n="[ProductData].[Product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Quarter" xr10:uid="{076CDC43-6494-431A-8C9B-0847D18AE15D}" sourceName="[SalesData].[Year-Quarter]">
  <pivotTables>
    <pivotTable tabId="73" name="PivotTable5"/>
    <pivotTable tabId="73" name="PivotForLineChartRevQ"/>
    <pivotTable tabId="73" name="PivotMetrics"/>
    <pivotTable tabId="73" name="PivotTable9"/>
    <pivotTable tabId="73" name="PivotTable10"/>
    <pivotTable tabId="73" name="PivotTable20"/>
  </pivotTables>
  <data>
    <olap pivotCacheId="938808649">
      <levels count="2">
        <level uniqueName="[SalesData].[Year-Quarter].[(All)]" sourceCaption="(All)" count="0"/>
        <level uniqueName="[SalesData].[Year-Quarter].[Year-Quarter]" sourceCaption="Year-Quarter" count="4">
          <ranges>
            <range startItem="0">
              <i n="[SalesData].[Year-Quarter].&amp;[2024-Q1]" c="2024-Q1"/>
              <i n="[SalesData].[Year-Quarter].&amp;[2024-Q2]" c="2024-Q2"/>
              <i n="[SalesData].[Year-Quarter].&amp;[2024-Q3]" c="2024-Q3"/>
              <i n="[SalesData].[Year-Quarter].&amp;[2024-Q4]" c="2024-Q4"/>
            </range>
          </ranges>
        </level>
      </levels>
      <selections count="1">
        <selection n="[SalesData].[Year-Quart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9660853-6DAF-49D7-8B7F-0C05A0D5F637}" sourceName="[CustomerData].[Region]">
  <pivotTables>
    <pivotTable tabId="73" name="PivotTable20"/>
    <pivotTable tabId="73" name="PivotForLineChartRevQ"/>
    <pivotTable tabId="73" name="PivotMetrics"/>
    <pivotTable tabId="73" name="PivotTable10"/>
    <pivotTable tabId="73" name="PivotTable5"/>
    <pivotTable tabId="73" name="PivotTable9"/>
  </pivotTables>
  <data>
    <olap pivotCacheId="938808649">
      <levels count="2">
        <level uniqueName="[CustomerData].[Region].[(All)]" sourceCaption="(All)" count="0"/>
        <level uniqueName="[CustomerData].[Region].[Region]" sourceCaption="Region" count="4">
          <ranges>
            <range startItem="0">
              <i n="[CustomerData].[Region].&amp;[East]" c="East"/>
              <i n="[CustomerData].[Region].&amp;[North]" c="North"/>
              <i n="[CustomerData].[Region].&amp;[South]" c="South"/>
              <i n="[CustomerData].[Region].&amp;[West]" c="West"/>
            </range>
          </ranges>
        </level>
      </levels>
      <selections count="1">
        <selection n="[CustomerData].[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Category" xr10:uid="{2098C7AE-A208-4B9F-977C-424A16685DDC}" cache="Slicer_ProductCategory" caption="Filter Category" level="1" style="Slicer Style 2" rowHeight="241300"/>
  <slicer name="Year-Quarter" xr10:uid="{00A0422A-B79F-4D68-884E-D038CCAF7544}" cache="Slicer_Year_Quarter" caption="Select Quarter" columnCount="2" level="1" style="Slicer Style 2 2" rowHeight="241300"/>
  <slicer name="Region" xr10:uid="{1C3ADCF3-B6AF-42F3-B201-3EAF8B4787B1}" cache="Slicer_Region" caption="Region" level="1" style="Slicer Style 2 2 2" rowHeight="241300"/>
</slicers>
</file>

<file path=xl/theme/theme1.xml><?xml version="1.0" encoding="utf-8"?>
<a:theme xmlns:a="http://schemas.openxmlformats.org/drawingml/2006/main" name="Office Theme">
  <a:themeElements>
    <a:clrScheme name="Coolbet">
      <a:dk1>
        <a:sysClr val="windowText" lastClr="000000"/>
      </a:dk1>
      <a:lt1>
        <a:sysClr val="window" lastClr="FFFFFF"/>
      </a:lt1>
      <a:dk2>
        <a:srgbClr val="44546A"/>
      </a:dk2>
      <a:lt2>
        <a:srgbClr val="E7E6E6"/>
      </a:lt2>
      <a:accent1>
        <a:srgbClr val="32A8B4"/>
      </a:accent1>
      <a:accent2>
        <a:srgbClr val="7ED2DB"/>
      </a:accent2>
      <a:accent3>
        <a:srgbClr val="F5974D"/>
      </a:accent3>
      <a:accent4>
        <a:srgbClr val="F9BC8F"/>
      </a:accent4>
      <a:accent5>
        <a:srgbClr val="9E5976"/>
      </a:accent5>
      <a:accent6>
        <a:srgbClr val="D2AEBD"/>
      </a:accent6>
      <a:hlink>
        <a:srgbClr val="DF726E"/>
      </a:hlink>
      <a:folHlink>
        <a:srgbClr val="EFB8B7"/>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6427173-939E-4529-888E-D560C1AE7B96}">
  <we:reference id="wa200007447" version="1.0.0.0" store="en-US" storeType="OMEX"/>
  <we:alternateReferences>
    <we:reference id="WA200007447"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List>
    </a:ext>
  </we:extLst>
</we:webextension>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449BA-180E-41CA-BA5F-083995D87B5F}">
  <sheetPr codeName="Sheet2"/>
  <dimension ref="A1:O28"/>
  <sheetViews>
    <sheetView showGridLines="0" zoomScale="62" zoomScaleNormal="67" workbookViewId="0">
      <selection activeCell="C41" sqref="C41"/>
    </sheetView>
  </sheetViews>
  <sheetFormatPr defaultRowHeight="14" customHeight="1" x14ac:dyDescent="0.3"/>
  <cols>
    <col min="1" max="1" width="13.08984375" style="3" customWidth="1"/>
    <col min="2" max="2" width="12.90625" style="3" customWidth="1"/>
    <col min="3" max="3" width="62.6328125" style="3" bestFit="1" customWidth="1"/>
    <col min="4" max="4" width="35.6328125" style="3" bestFit="1" customWidth="1"/>
    <col min="5" max="7" width="8.7265625" style="3"/>
    <col min="8" max="8" width="6.6328125" style="3" customWidth="1"/>
    <col min="9" max="16384" width="8.7265625" style="3"/>
  </cols>
  <sheetData>
    <row r="1" spans="1:8" ht="18.5" customHeight="1" x14ac:dyDescent="0.6">
      <c r="C1" s="31"/>
      <c r="D1" s="31"/>
      <c r="E1" s="31"/>
      <c r="F1" s="31"/>
      <c r="G1" s="31"/>
      <c r="H1" s="31"/>
    </row>
    <row r="2" spans="1:8" ht="9.5" customHeight="1" x14ac:dyDescent="0.3"/>
    <row r="3" spans="1:8" ht="10" customHeight="1" x14ac:dyDescent="0.3"/>
    <row r="4" spans="1:8" ht="36.5" customHeight="1" x14ac:dyDescent="0.6">
      <c r="B4" s="34" t="s">
        <v>46</v>
      </c>
      <c r="C4" s="34"/>
      <c r="D4" s="34"/>
      <c r="E4" s="34"/>
      <c r="F4" s="34"/>
      <c r="G4" s="34"/>
      <c r="H4" s="34"/>
    </row>
    <row r="7" spans="1:8" ht="14" customHeight="1" x14ac:dyDescent="0.3">
      <c r="A7" s="26"/>
    </row>
    <row r="9" spans="1:8" x14ac:dyDescent="0.3"/>
    <row r="10" spans="1:8" x14ac:dyDescent="0.3"/>
    <row r="11" spans="1:8" x14ac:dyDescent="0.3"/>
    <row r="12" spans="1:8" x14ac:dyDescent="0.3"/>
    <row r="13" spans="1:8" x14ac:dyDescent="0.3"/>
    <row r="14" spans="1:8" x14ac:dyDescent="0.3"/>
    <row r="15" spans="1:8" x14ac:dyDescent="0.3"/>
    <row r="16" spans="1:8" x14ac:dyDescent="0.3"/>
    <row r="17" spans="15:15" x14ac:dyDescent="0.3"/>
    <row r="18" spans="15:15" x14ac:dyDescent="0.3"/>
    <row r="19" spans="15:15" x14ac:dyDescent="0.3"/>
    <row r="20" spans="15:15" x14ac:dyDescent="0.3"/>
    <row r="21" spans="15:15" x14ac:dyDescent="0.3"/>
    <row r="22" spans="15:15" x14ac:dyDescent="0.3"/>
    <row r="23" spans="15:15" x14ac:dyDescent="0.3"/>
    <row r="24" spans="15:15" x14ac:dyDescent="0.3"/>
    <row r="25" spans="15:15" x14ac:dyDescent="0.3"/>
    <row r="26" spans="15:15" x14ac:dyDescent="0.3"/>
    <row r="28" spans="15:15" ht="14" customHeight="1" x14ac:dyDescent="0.35">
      <c r="O28"/>
    </row>
  </sheetData>
  <mergeCells count="1">
    <mergeCell ref="B4:H4"/>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4DCA2-ABC8-4BCF-9B2F-4F5984DB1EBD}">
  <sheetPr codeName="Sheet70"/>
  <dimension ref="A3:O84"/>
  <sheetViews>
    <sheetView zoomScale="50" zoomScaleNormal="70" workbookViewId="0">
      <selection activeCell="A3" sqref="A3"/>
    </sheetView>
  </sheetViews>
  <sheetFormatPr defaultRowHeight="14.5" x14ac:dyDescent="0.35"/>
  <cols>
    <col min="1" max="1" width="14.81640625" bestFit="1" customWidth="1"/>
    <col min="2" max="2" width="18.453125" bestFit="1" customWidth="1"/>
    <col min="3" max="3" width="19.1796875" bestFit="1" customWidth="1"/>
    <col min="4" max="4" width="26.453125" bestFit="1" customWidth="1"/>
    <col min="5" max="5" width="17.36328125" bestFit="1" customWidth="1"/>
    <col min="6" max="6" width="24.81640625" bestFit="1" customWidth="1"/>
    <col min="7" max="7" width="11.1796875" bestFit="1" customWidth="1"/>
    <col min="8" max="8" width="21.54296875" bestFit="1" customWidth="1"/>
    <col min="9" max="9" width="15.36328125" bestFit="1" customWidth="1"/>
    <col min="10" max="10" width="18.453125" bestFit="1" customWidth="1"/>
    <col min="11" max="11" width="8.26953125" bestFit="1" customWidth="1"/>
    <col min="12" max="12" width="10.6328125" bestFit="1" customWidth="1"/>
    <col min="13" max="13" width="6.26953125" bestFit="1" customWidth="1"/>
    <col min="14" max="14" width="6.6328125" bestFit="1" customWidth="1"/>
    <col min="15" max="16" width="11.1796875" bestFit="1" customWidth="1"/>
    <col min="17" max="17" width="18" bestFit="1" customWidth="1"/>
    <col min="18" max="18" width="22.54296875" bestFit="1" customWidth="1"/>
    <col min="19" max="19" width="18" bestFit="1" customWidth="1"/>
    <col min="20" max="20" width="27.26953125" bestFit="1" customWidth="1"/>
    <col min="21" max="21" width="22.7265625" bestFit="1" customWidth="1"/>
    <col min="22" max="22" width="8.453125" bestFit="1" customWidth="1"/>
    <col min="23" max="23" width="7.453125" bestFit="1" customWidth="1"/>
    <col min="24" max="24" width="7.6328125" bestFit="1" customWidth="1"/>
    <col min="25" max="25" width="9.7265625" bestFit="1" customWidth="1"/>
    <col min="26" max="27" width="6.453125" bestFit="1" customWidth="1"/>
    <col min="28" max="28" width="8.6328125" bestFit="1" customWidth="1"/>
    <col min="29" max="29" width="6.453125" bestFit="1" customWidth="1"/>
    <col min="30" max="30" width="9.7265625" bestFit="1" customWidth="1"/>
    <col min="31" max="32" width="7.453125" bestFit="1" customWidth="1"/>
    <col min="33" max="33" width="8.26953125" bestFit="1" customWidth="1"/>
    <col min="34" max="34" width="7.453125" bestFit="1" customWidth="1"/>
    <col min="35" max="35" width="7.6328125" bestFit="1" customWidth="1"/>
    <col min="36" max="37" width="6.453125" bestFit="1" customWidth="1"/>
    <col min="38" max="38" width="7.6328125" bestFit="1" customWidth="1"/>
    <col min="39" max="39" width="6.453125" bestFit="1" customWidth="1"/>
    <col min="40" max="40" width="7.6328125" bestFit="1" customWidth="1"/>
    <col min="41" max="41" width="9.7265625" bestFit="1" customWidth="1"/>
    <col min="42" max="43" width="7.453125" bestFit="1" customWidth="1"/>
    <col min="44" max="44" width="8.6328125" bestFit="1" customWidth="1"/>
    <col min="45" max="45" width="6.453125" bestFit="1" customWidth="1"/>
    <col min="46" max="46" width="7.6328125" bestFit="1" customWidth="1"/>
    <col min="47" max="47" width="9.7265625" bestFit="1" customWidth="1"/>
    <col min="48" max="49" width="7.453125" bestFit="1" customWidth="1"/>
    <col min="50" max="50" width="8.453125" bestFit="1" customWidth="1"/>
    <col min="51" max="51" width="7.453125" bestFit="1" customWidth="1"/>
    <col min="52" max="52" width="7.6328125" bestFit="1" customWidth="1"/>
    <col min="53" max="53" width="9.7265625" bestFit="1" customWidth="1"/>
    <col min="54" max="54" width="7.453125" bestFit="1" customWidth="1"/>
    <col min="55" max="55" width="6.453125" bestFit="1" customWidth="1"/>
    <col min="56" max="56" width="8.36328125" bestFit="1" customWidth="1"/>
    <col min="57" max="57" width="7.453125" bestFit="1" customWidth="1"/>
    <col min="58" max="58" width="8.453125" bestFit="1" customWidth="1"/>
    <col min="59" max="59" width="9.7265625" bestFit="1" customWidth="1"/>
    <col min="60" max="61" width="7.453125" bestFit="1" customWidth="1"/>
    <col min="62" max="62" width="8.7265625" bestFit="1" customWidth="1"/>
    <col min="63" max="63" width="7.453125" bestFit="1" customWidth="1"/>
    <col min="64" max="64" width="8.453125" bestFit="1" customWidth="1"/>
    <col min="65" max="65" width="9.7265625" bestFit="1" customWidth="1"/>
    <col min="66" max="67" width="7.453125" bestFit="1" customWidth="1"/>
    <col min="68" max="68" width="8.54296875" bestFit="1" customWidth="1"/>
    <col min="69" max="69" width="10" bestFit="1" customWidth="1"/>
    <col min="70" max="70" width="7.453125" bestFit="1" customWidth="1"/>
    <col min="71" max="71" width="7.6328125" bestFit="1" customWidth="1"/>
    <col min="72" max="72" width="9.7265625" bestFit="1" customWidth="1"/>
    <col min="73" max="74" width="7.453125" bestFit="1" customWidth="1"/>
    <col min="75" max="75" width="8.453125" bestFit="1" customWidth="1"/>
    <col min="76" max="76" width="7.453125" bestFit="1" customWidth="1"/>
    <col min="77" max="77" width="7.6328125" bestFit="1" customWidth="1"/>
    <col min="78" max="78" width="9.7265625" bestFit="1" customWidth="1"/>
    <col min="79" max="80" width="7.453125" bestFit="1" customWidth="1"/>
    <col min="81" max="82" width="8.453125" bestFit="1" customWidth="1"/>
    <col min="83" max="83" width="7.6328125" bestFit="1" customWidth="1"/>
    <col min="84" max="84" width="9.7265625" bestFit="1" customWidth="1"/>
    <col min="85" max="86" width="7.453125" bestFit="1" customWidth="1"/>
    <col min="87" max="87" width="8.90625" bestFit="1" customWidth="1"/>
    <col min="88" max="88" width="7.453125" bestFit="1" customWidth="1"/>
    <col min="89" max="89" width="7.6328125" bestFit="1" customWidth="1"/>
    <col min="90" max="90" width="9.7265625" bestFit="1" customWidth="1"/>
    <col min="91" max="92" width="7.453125" bestFit="1" customWidth="1"/>
    <col min="93" max="93" width="8.453125" bestFit="1" customWidth="1"/>
    <col min="94" max="94" width="7.453125" bestFit="1" customWidth="1"/>
    <col min="95" max="95" width="7.6328125" bestFit="1" customWidth="1"/>
    <col min="96" max="96" width="9.7265625" bestFit="1" customWidth="1"/>
    <col min="97" max="98" width="7.453125" bestFit="1" customWidth="1"/>
    <col min="99" max="99" width="8.6328125" bestFit="1" customWidth="1"/>
    <col min="100" max="100" width="7.453125" bestFit="1" customWidth="1"/>
    <col min="101" max="101" width="7.6328125" bestFit="1" customWidth="1"/>
    <col min="102" max="102" width="9.7265625" bestFit="1" customWidth="1"/>
    <col min="103" max="104" width="7.453125" bestFit="1" customWidth="1"/>
    <col min="105" max="105" width="8.453125" bestFit="1" customWidth="1"/>
    <col min="106" max="106" width="7.453125" bestFit="1" customWidth="1"/>
    <col min="107" max="107" width="7.6328125" bestFit="1" customWidth="1"/>
    <col min="108" max="108" width="9.7265625" bestFit="1" customWidth="1"/>
    <col min="109" max="110" width="7.453125" bestFit="1" customWidth="1"/>
    <col min="111" max="111" width="8.453125" bestFit="1" customWidth="1"/>
    <col min="112" max="112" width="7.453125" bestFit="1" customWidth="1"/>
    <col min="113" max="113" width="8.453125" bestFit="1" customWidth="1"/>
    <col min="114" max="114" width="9.7265625" bestFit="1" customWidth="1"/>
    <col min="115" max="116" width="7.453125" bestFit="1" customWidth="1"/>
    <col min="117" max="117" width="8.6328125" bestFit="1" customWidth="1"/>
    <col min="118" max="118" width="7.453125" bestFit="1" customWidth="1"/>
    <col min="119" max="119" width="7.6328125" bestFit="1" customWidth="1"/>
    <col min="120" max="120" width="9.7265625" bestFit="1" customWidth="1"/>
    <col min="121" max="122" width="7.453125" bestFit="1" customWidth="1"/>
    <col min="123" max="123" width="8.453125" bestFit="1" customWidth="1"/>
    <col min="124" max="124" width="7.453125" bestFit="1" customWidth="1"/>
    <col min="125" max="125" width="7.6328125" bestFit="1" customWidth="1"/>
    <col min="126" max="126" width="9.7265625" bestFit="1" customWidth="1"/>
    <col min="127" max="128" width="7.453125" bestFit="1" customWidth="1"/>
    <col min="129" max="129" width="8.453125" bestFit="1" customWidth="1"/>
    <col min="130" max="130" width="7.453125" bestFit="1" customWidth="1"/>
    <col min="131" max="131" width="7.6328125" bestFit="1" customWidth="1"/>
    <col min="132" max="132" width="9.7265625" bestFit="1" customWidth="1"/>
    <col min="133" max="134" width="7.453125" bestFit="1" customWidth="1"/>
    <col min="135" max="135" width="8.7265625" bestFit="1" customWidth="1"/>
    <col min="136" max="136" width="7.453125" bestFit="1" customWidth="1"/>
    <col min="137" max="137" width="8.453125" bestFit="1" customWidth="1"/>
    <col min="138" max="138" width="9.7265625" bestFit="1" customWidth="1"/>
    <col min="139" max="140" width="7.453125" bestFit="1" customWidth="1"/>
    <col min="141" max="141" width="8.54296875" bestFit="1" customWidth="1"/>
    <col min="142" max="142" width="10" bestFit="1" customWidth="1"/>
    <col min="143" max="143" width="7.453125" bestFit="1" customWidth="1"/>
    <col min="144" max="144" width="7.6328125" bestFit="1" customWidth="1"/>
    <col min="145" max="145" width="9.7265625" bestFit="1" customWidth="1"/>
    <col min="146" max="147" width="7.453125" bestFit="1" customWidth="1"/>
    <col min="148" max="148" width="8.453125" bestFit="1" customWidth="1"/>
    <col min="149" max="149" width="7.453125" bestFit="1" customWidth="1"/>
    <col min="150" max="150" width="7.6328125" bestFit="1" customWidth="1"/>
    <col min="151" max="151" width="9.7265625" bestFit="1" customWidth="1"/>
    <col min="152" max="153" width="7.453125" bestFit="1" customWidth="1"/>
    <col min="154" max="154" width="8.453125" bestFit="1" customWidth="1"/>
    <col min="155" max="155" width="9.453125" bestFit="1" customWidth="1"/>
    <col min="156" max="156" width="10.6328125" bestFit="1" customWidth="1"/>
    <col min="157" max="259" width="10.453125" bestFit="1" customWidth="1"/>
    <col min="260" max="260" width="19.08984375" bestFit="1" customWidth="1"/>
    <col min="261" max="261" width="22.7265625" bestFit="1" customWidth="1"/>
    <col min="262" max="269" width="10.453125" bestFit="1" customWidth="1"/>
    <col min="270" max="270" width="8.36328125" bestFit="1" customWidth="1"/>
    <col min="271" max="280" width="10.453125" bestFit="1" customWidth="1"/>
    <col min="281" max="281" width="8.7265625" bestFit="1" customWidth="1"/>
    <col min="282" max="282" width="19.08984375" bestFit="1" customWidth="1"/>
    <col min="283" max="283" width="22.7265625" bestFit="1" customWidth="1"/>
    <col min="284" max="284" width="12.26953125" bestFit="1" customWidth="1"/>
    <col min="285" max="285" width="15.26953125" bestFit="1" customWidth="1"/>
    <col min="286" max="286" width="12.26953125" bestFit="1" customWidth="1"/>
    <col min="287" max="287" width="15.26953125" bestFit="1" customWidth="1"/>
    <col min="288" max="288" width="12.26953125" bestFit="1" customWidth="1"/>
    <col min="289" max="289" width="15.26953125" bestFit="1" customWidth="1"/>
    <col min="290" max="290" width="12.26953125" bestFit="1" customWidth="1"/>
    <col min="291" max="291" width="15.26953125" bestFit="1" customWidth="1"/>
    <col min="292" max="292" width="12.26953125" bestFit="1" customWidth="1"/>
    <col min="293" max="293" width="15.26953125" bestFit="1" customWidth="1"/>
    <col min="294" max="294" width="12.26953125" bestFit="1" customWidth="1"/>
    <col min="295" max="295" width="15.26953125" bestFit="1" customWidth="1"/>
    <col min="296" max="296" width="12.26953125" bestFit="1" customWidth="1"/>
    <col min="297" max="297" width="15.26953125" bestFit="1" customWidth="1"/>
    <col min="298" max="298" width="12.26953125" bestFit="1" customWidth="1"/>
    <col min="299" max="299" width="15.26953125" bestFit="1" customWidth="1"/>
    <col min="300" max="300" width="12.26953125" bestFit="1" customWidth="1"/>
    <col min="301" max="301" width="15.26953125" bestFit="1" customWidth="1"/>
    <col min="302" max="302" width="12.26953125" bestFit="1" customWidth="1"/>
    <col min="303" max="303" width="15.26953125" bestFit="1" customWidth="1"/>
    <col min="304" max="304" width="12.26953125" bestFit="1" customWidth="1"/>
    <col min="305" max="305" width="15.26953125" bestFit="1" customWidth="1"/>
    <col min="306" max="306" width="12.26953125" bestFit="1" customWidth="1"/>
    <col min="307" max="307" width="15.26953125" bestFit="1" customWidth="1"/>
    <col min="308" max="308" width="12.26953125" bestFit="1" customWidth="1"/>
    <col min="309" max="309" width="15.26953125" bestFit="1" customWidth="1"/>
    <col min="310" max="310" width="12.26953125" bestFit="1" customWidth="1"/>
    <col min="311" max="311" width="15.26953125" bestFit="1" customWidth="1"/>
    <col min="312" max="312" width="12.26953125" bestFit="1" customWidth="1"/>
    <col min="313" max="313" width="15.26953125" bestFit="1" customWidth="1"/>
    <col min="314" max="314" width="12.26953125" bestFit="1" customWidth="1"/>
    <col min="315" max="315" width="15.26953125" bestFit="1" customWidth="1"/>
    <col min="316" max="316" width="12.26953125" bestFit="1" customWidth="1"/>
    <col min="317" max="317" width="15.26953125" bestFit="1" customWidth="1"/>
    <col min="318" max="318" width="12.26953125" bestFit="1" customWidth="1"/>
    <col min="319" max="319" width="15.26953125" bestFit="1" customWidth="1"/>
    <col min="320" max="320" width="12.26953125" bestFit="1" customWidth="1"/>
    <col min="321" max="321" width="15.26953125" bestFit="1" customWidth="1"/>
    <col min="322" max="322" width="12.26953125" bestFit="1" customWidth="1"/>
    <col min="323" max="323" width="15.26953125" bestFit="1" customWidth="1"/>
    <col min="324" max="324" width="12.26953125" bestFit="1" customWidth="1"/>
    <col min="325" max="325" width="15.26953125" bestFit="1" customWidth="1"/>
    <col min="326" max="326" width="12.26953125" bestFit="1" customWidth="1"/>
    <col min="327" max="327" width="15.26953125" bestFit="1" customWidth="1"/>
    <col min="328" max="328" width="12.26953125" bestFit="1" customWidth="1"/>
    <col min="329" max="329" width="15.26953125" bestFit="1" customWidth="1"/>
    <col min="330" max="330" width="12.26953125" bestFit="1" customWidth="1"/>
    <col min="331" max="331" width="15.26953125" bestFit="1" customWidth="1"/>
    <col min="332" max="332" width="12.26953125" bestFit="1" customWidth="1"/>
    <col min="333" max="333" width="15.26953125" bestFit="1" customWidth="1"/>
    <col min="334" max="334" width="12.26953125" bestFit="1" customWidth="1"/>
    <col min="335" max="335" width="15.26953125" bestFit="1" customWidth="1"/>
    <col min="336" max="336" width="12.26953125" bestFit="1" customWidth="1"/>
    <col min="337" max="337" width="15.26953125" bestFit="1" customWidth="1"/>
    <col min="338" max="338" width="12.26953125" bestFit="1" customWidth="1"/>
    <col min="339" max="339" width="15.26953125" bestFit="1" customWidth="1"/>
    <col min="340" max="340" width="12.26953125" bestFit="1" customWidth="1"/>
    <col min="341" max="341" width="15.26953125" bestFit="1" customWidth="1"/>
    <col min="342" max="342" width="12.26953125" bestFit="1" customWidth="1"/>
    <col min="343" max="343" width="15.26953125" bestFit="1" customWidth="1"/>
    <col min="344" max="344" width="12.26953125" bestFit="1" customWidth="1"/>
    <col min="345" max="345" width="15.26953125" bestFit="1" customWidth="1"/>
    <col min="346" max="346" width="12.26953125" bestFit="1" customWidth="1"/>
    <col min="347" max="347" width="15.26953125" bestFit="1" customWidth="1"/>
    <col min="348" max="348" width="12.26953125" bestFit="1" customWidth="1"/>
    <col min="349" max="349" width="15.26953125" bestFit="1" customWidth="1"/>
    <col min="350" max="350" width="12.26953125" bestFit="1" customWidth="1"/>
    <col min="351" max="351" width="15.26953125" bestFit="1" customWidth="1"/>
    <col min="352" max="352" width="12.26953125" bestFit="1" customWidth="1"/>
    <col min="353" max="353" width="15.26953125" bestFit="1" customWidth="1"/>
    <col min="354" max="354" width="12.26953125" bestFit="1" customWidth="1"/>
    <col min="355" max="355" width="15.26953125" bestFit="1" customWidth="1"/>
    <col min="356" max="356" width="12.26953125" bestFit="1" customWidth="1"/>
    <col min="357" max="357" width="15.26953125" bestFit="1" customWidth="1"/>
    <col min="358" max="358" width="12.26953125" bestFit="1" customWidth="1"/>
    <col min="359" max="359" width="15.26953125" bestFit="1" customWidth="1"/>
    <col min="360" max="360" width="12.26953125" bestFit="1" customWidth="1"/>
    <col min="361" max="361" width="15.26953125" bestFit="1" customWidth="1"/>
    <col min="362" max="362" width="12.26953125" bestFit="1" customWidth="1"/>
    <col min="363" max="363" width="15.26953125" bestFit="1" customWidth="1"/>
    <col min="364" max="364" width="12.26953125" bestFit="1" customWidth="1"/>
    <col min="365" max="365" width="15.26953125" bestFit="1" customWidth="1"/>
    <col min="366" max="366" width="12.26953125" bestFit="1" customWidth="1"/>
    <col min="367" max="367" width="15.26953125" bestFit="1" customWidth="1"/>
    <col min="368" max="368" width="12.26953125" bestFit="1" customWidth="1"/>
    <col min="369" max="369" width="15.26953125" bestFit="1" customWidth="1"/>
    <col min="370" max="370" width="12.26953125" bestFit="1" customWidth="1"/>
    <col min="371" max="371" width="15.26953125" bestFit="1" customWidth="1"/>
    <col min="372" max="372" width="12.26953125" bestFit="1" customWidth="1"/>
    <col min="373" max="373" width="15.26953125" bestFit="1" customWidth="1"/>
    <col min="374" max="374" width="12.26953125" bestFit="1" customWidth="1"/>
    <col min="375" max="375" width="15.26953125" bestFit="1" customWidth="1"/>
    <col min="376" max="376" width="12.26953125" bestFit="1" customWidth="1"/>
    <col min="377" max="377" width="15.26953125" bestFit="1" customWidth="1"/>
    <col min="378" max="378" width="12.26953125" bestFit="1" customWidth="1"/>
    <col min="379" max="379" width="15.26953125" bestFit="1" customWidth="1"/>
    <col min="380" max="380" width="12.26953125" bestFit="1" customWidth="1"/>
    <col min="381" max="381" width="15.26953125" bestFit="1" customWidth="1"/>
    <col min="382" max="382" width="12.26953125" bestFit="1" customWidth="1"/>
    <col min="383" max="383" width="15.26953125" bestFit="1" customWidth="1"/>
    <col min="384" max="384" width="12.26953125" bestFit="1" customWidth="1"/>
    <col min="385" max="385" width="15.26953125" bestFit="1" customWidth="1"/>
    <col min="386" max="386" width="12.26953125" bestFit="1" customWidth="1"/>
    <col min="387" max="387" width="15.26953125" bestFit="1" customWidth="1"/>
    <col min="388" max="388" width="12.26953125" bestFit="1" customWidth="1"/>
    <col min="389" max="389" width="15.26953125" bestFit="1" customWidth="1"/>
    <col min="390" max="390" width="12.26953125" bestFit="1" customWidth="1"/>
    <col min="391" max="391" width="15.26953125" bestFit="1" customWidth="1"/>
    <col min="392" max="392" width="12.26953125" bestFit="1" customWidth="1"/>
    <col min="393" max="393" width="15.26953125" bestFit="1" customWidth="1"/>
    <col min="394" max="394" width="12.26953125" bestFit="1" customWidth="1"/>
    <col min="395" max="395" width="15.26953125" bestFit="1" customWidth="1"/>
    <col min="396" max="396" width="12.26953125" bestFit="1" customWidth="1"/>
    <col min="397" max="397" width="15.26953125" bestFit="1" customWidth="1"/>
    <col min="398" max="398" width="12.26953125" bestFit="1" customWidth="1"/>
    <col min="399" max="399" width="15.26953125" bestFit="1" customWidth="1"/>
    <col min="400" max="400" width="12.26953125" bestFit="1" customWidth="1"/>
    <col min="401" max="401" width="15.26953125" bestFit="1" customWidth="1"/>
    <col min="402" max="402" width="12.26953125" bestFit="1" customWidth="1"/>
    <col min="403" max="403" width="15.26953125" bestFit="1" customWidth="1"/>
    <col min="404" max="404" width="12.26953125" bestFit="1" customWidth="1"/>
    <col min="405" max="405" width="15.26953125" bestFit="1" customWidth="1"/>
    <col min="406" max="406" width="12.26953125" bestFit="1" customWidth="1"/>
    <col min="407" max="407" width="15.26953125" bestFit="1" customWidth="1"/>
    <col min="408" max="408" width="12.26953125" bestFit="1" customWidth="1"/>
    <col min="409" max="409" width="15.26953125" bestFit="1" customWidth="1"/>
    <col min="410" max="410" width="12.26953125" bestFit="1" customWidth="1"/>
    <col min="411" max="411" width="15.26953125" bestFit="1" customWidth="1"/>
    <col min="412" max="412" width="12.26953125" bestFit="1" customWidth="1"/>
    <col min="413" max="413" width="15.26953125" bestFit="1" customWidth="1"/>
    <col min="414" max="414" width="12.26953125" bestFit="1" customWidth="1"/>
    <col min="415" max="415" width="15.26953125" bestFit="1" customWidth="1"/>
    <col min="416" max="416" width="12.26953125" bestFit="1" customWidth="1"/>
    <col min="417" max="417" width="15.26953125" bestFit="1" customWidth="1"/>
    <col min="418" max="418" width="12.26953125" bestFit="1" customWidth="1"/>
    <col min="419" max="419" width="15.26953125" bestFit="1" customWidth="1"/>
    <col min="420" max="420" width="12.26953125" bestFit="1" customWidth="1"/>
    <col min="421" max="421" width="15.26953125" bestFit="1" customWidth="1"/>
    <col min="422" max="422" width="12.26953125" bestFit="1" customWidth="1"/>
    <col min="423" max="423" width="15.26953125" bestFit="1" customWidth="1"/>
    <col min="424" max="424" width="12.26953125" bestFit="1" customWidth="1"/>
    <col min="425" max="425" width="15.26953125" bestFit="1" customWidth="1"/>
    <col min="426" max="426" width="12.26953125" bestFit="1" customWidth="1"/>
    <col min="427" max="427" width="15.26953125" bestFit="1" customWidth="1"/>
    <col min="428" max="428" width="12.26953125" bestFit="1" customWidth="1"/>
    <col min="429" max="429" width="15.26953125" bestFit="1" customWidth="1"/>
    <col min="430" max="430" width="12.26953125" bestFit="1" customWidth="1"/>
    <col min="431" max="431" width="15.26953125" bestFit="1" customWidth="1"/>
    <col min="432" max="432" width="12.26953125" bestFit="1" customWidth="1"/>
    <col min="433" max="433" width="15.26953125" bestFit="1" customWidth="1"/>
    <col min="434" max="434" width="12.26953125" bestFit="1" customWidth="1"/>
    <col min="435" max="435" width="15.26953125" bestFit="1" customWidth="1"/>
    <col min="436" max="436" width="12.26953125" bestFit="1" customWidth="1"/>
    <col min="437" max="437" width="15.26953125" bestFit="1" customWidth="1"/>
    <col min="438" max="438" width="12.26953125" bestFit="1" customWidth="1"/>
    <col min="439" max="439" width="15.26953125" bestFit="1" customWidth="1"/>
    <col min="440" max="440" width="12.26953125" bestFit="1" customWidth="1"/>
    <col min="441" max="441" width="15.26953125" bestFit="1" customWidth="1"/>
    <col min="442" max="442" width="12.26953125" bestFit="1" customWidth="1"/>
    <col min="443" max="443" width="15.26953125" bestFit="1" customWidth="1"/>
    <col min="444" max="444" width="12.26953125" bestFit="1" customWidth="1"/>
    <col min="445" max="445" width="15.26953125" bestFit="1" customWidth="1"/>
    <col min="446" max="446" width="12.26953125" bestFit="1" customWidth="1"/>
    <col min="447" max="447" width="15.26953125" bestFit="1" customWidth="1"/>
    <col min="448" max="448" width="12.26953125" bestFit="1" customWidth="1"/>
    <col min="449" max="449" width="15.26953125" bestFit="1" customWidth="1"/>
    <col min="450" max="450" width="12.26953125" bestFit="1" customWidth="1"/>
    <col min="451" max="451" width="15.26953125" bestFit="1" customWidth="1"/>
    <col min="452" max="452" width="12.26953125" bestFit="1" customWidth="1"/>
    <col min="453" max="453" width="15.26953125" bestFit="1" customWidth="1"/>
    <col min="454" max="454" width="12.26953125" bestFit="1" customWidth="1"/>
    <col min="455" max="455" width="15.26953125" bestFit="1" customWidth="1"/>
    <col min="456" max="456" width="12.26953125" bestFit="1" customWidth="1"/>
    <col min="457" max="457" width="15.26953125" bestFit="1" customWidth="1"/>
    <col min="458" max="458" width="12.26953125" bestFit="1" customWidth="1"/>
    <col min="459" max="459" width="15.26953125" bestFit="1" customWidth="1"/>
    <col min="460" max="460" width="12.26953125" bestFit="1" customWidth="1"/>
    <col min="461" max="461" width="15.26953125" bestFit="1" customWidth="1"/>
    <col min="462" max="462" width="12.26953125" bestFit="1" customWidth="1"/>
    <col min="463" max="463" width="15.26953125" bestFit="1" customWidth="1"/>
    <col min="464" max="464" width="12.26953125" bestFit="1" customWidth="1"/>
    <col min="465" max="465" width="15.26953125" bestFit="1" customWidth="1"/>
    <col min="466" max="466" width="12.26953125" bestFit="1" customWidth="1"/>
    <col min="467" max="467" width="15.26953125" bestFit="1" customWidth="1"/>
    <col min="468" max="468" width="12.26953125" bestFit="1" customWidth="1"/>
    <col min="469" max="469" width="15.26953125" bestFit="1" customWidth="1"/>
    <col min="470" max="470" width="12.26953125" bestFit="1" customWidth="1"/>
    <col min="471" max="471" width="15.26953125" bestFit="1" customWidth="1"/>
    <col min="472" max="472" width="12.26953125" bestFit="1" customWidth="1"/>
    <col min="473" max="473" width="15.26953125" bestFit="1" customWidth="1"/>
    <col min="474" max="474" width="12.26953125" bestFit="1" customWidth="1"/>
    <col min="475" max="475" width="15.26953125" bestFit="1" customWidth="1"/>
    <col min="476" max="476" width="12.26953125" bestFit="1" customWidth="1"/>
    <col min="477" max="477" width="15.26953125" bestFit="1" customWidth="1"/>
    <col min="478" max="478" width="12.26953125" bestFit="1" customWidth="1"/>
    <col min="479" max="479" width="15.26953125" bestFit="1" customWidth="1"/>
    <col min="480" max="480" width="12.26953125" bestFit="1" customWidth="1"/>
    <col min="481" max="481" width="15.26953125" bestFit="1" customWidth="1"/>
    <col min="482" max="482" width="12.26953125" bestFit="1" customWidth="1"/>
    <col min="483" max="483" width="15.26953125" bestFit="1" customWidth="1"/>
    <col min="484" max="484" width="12.26953125" bestFit="1" customWidth="1"/>
    <col min="485" max="485" width="15.26953125" bestFit="1" customWidth="1"/>
    <col min="486" max="486" width="12.26953125" bestFit="1" customWidth="1"/>
    <col min="487" max="487" width="15.26953125" bestFit="1" customWidth="1"/>
    <col min="488" max="488" width="12.26953125" bestFit="1" customWidth="1"/>
    <col min="489" max="489" width="15.26953125" bestFit="1" customWidth="1"/>
    <col min="490" max="490" width="12.26953125" bestFit="1" customWidth="1"/>
    <col min="491" max="491" width="15.26953125" bestFit="1" customWidth="1"/>
    <col min="492" max="492" width="12.26953125" bestFit="1" customWidth="1"/>
    <col min="493" max="493" width="15.26953125" bestFit="1" customWidth="1"/>
    <col min="494" max="494" width="12.26953125" bestFit="1" customWidth="1"/>
    <col min="495" max="495" width="15.26953125" bestFit="1" customWidth="1"/>
    <col min="496" max="496" width="12.26953125" bestFit="1" customWidth="1"/>
    <col min="497" max="497" width="15.26953125" bestFit="1" customWidth="1"/>
    <col min="498" max="498" width="12.26953125" bestFit="1" customWidth="1"/>
    <col min="499" max="499" width="15.26953125" bestFit="1" customWidth="1"/>
    <col min="500" max="500" width="12.26953125" bestFit="1" customWidth="1"/>
    <col min="501" max="501" width="15.26953125" bestFit="1" customWidth="1"/>
    <col min="502" max="502" width="12.26953125" bestFit="1" customWidth="1"/>
    <col min="503" max="503" width="15.26953125" bestFit="1" customWidth="1"/>
    <col min="504" max="504" width="12.26953125" bestFit="1" customWidth="1"/>
    <col min="505" max="505" width="15.26953125" bestFit="1" customWidth="1"/>
    <col min="506" max="506" width="12.26953125" bestFit="1" customWidth="1"/>
    <col min="507" max="507" width="15.26953125" bestFit="1" customWidth="1"/>
    <col min="508" max="508" width="12.26953125" bestFit="1" customWidth="1"/>
    <col min="509" max="509" width="15.26953125" bestFit="1" customWidth="1"/>
    <col min="510" max="510" width="12.26953125" bestFit="1" customWidth="1"/>
    <col min="511" max="511" width="15.26953125" bestFit="1" customWidth="1"/>
    <col min="512" max="512" width="12.26953125" bestFit="1" customWidth="1"/>
    <col min="513" max="513" width="15.26953125" bestFit="1" customWidth="1"/>
    <col min="514" max="514" width="25.1796875" bestFit="1" customWidth="1"/>
    <col min="515" max="516" width="12.26953125" bestFit="1" customWidth="1"/>
    <col min="517" max="517" width="15.26953125" bestFit="1" customWidth="1"/>
    <col min="518" max="518" width="12.26953125" bestFit="1" customWidth="1"/>
    <col min="519" max="519" width="15.26953125" bestFit="1" customWidth="1"/>
    <col min="520" max="520" width="12.26953125" bestFit="1" customWidth="1"/>
    <col min="521" max="521" width="15.26953125" bestFit="1" customWidth="1"/>
    <col min="522" max="522" width="12.26953125" bestFit="1" customWidth="1"/>
    <col min="523" max="523" width="15.26953125" bestFit="1" customWidth="1"/>
    <col min="524" max="524" width="12.26953125" bestFit="1" customWidth="1"/>
    <col min="525" max="525" width="15.26953125" bestFit="1" customWidth="1"/>
    <col min="526" max="526" width="12.26953125" bestFit="1" customWidth="1"/>
    <col min="527" max="527" width="15.26953125" bestFit="1" customWidth="1"/>
    <col min="528" max="528" width="12.26953125" bestFit="1" customWidth="1"/>
    <col min="529" max="529" width="15.26953125" bestFit="1" customWidth="1"/>
    <col min="530" max="530" width="12.26953125" bestFit="1" customWidth="1"/>
    <col min="531" max="531" width="15.26953125" bestFit="1" customWidth="1"/>
    <col min="532" max="532" width="12.26953125" bestFit="1" customWidth="1"/>
    <col min="533" max="533" width="15.26953125" bestFit="1" customWidth="1"/>
    <col min="534" max="534" width="12.26953125" bestFit="1" customWidth="1"/>
    <col min="535" max="535" width="15.26953125" bestFit="1" customWidth="1"/>
    <col min="536" max="536" width="12.26953125" bestFit="1" customWidth="1"/>
    <col min="537" max="537" width="15.26953125" bestFit="1" customWidth="1"/>
    <col min="538" max="538" width="12.26953125" bestFit="1" customWidth="1"/>
    <col min="539" max="539" width="15.26953125" bestFit="1" customWidth="1"/>
    <col min="540" max="540" width="12.26953125" bestFit="1" customWidth="1"/>
    <col min="541" max="541" width="15.26953125" bestFit="1" customWidth="1"/>
    <col min="542" max="542" width="12.26953125" bestFit="1" customWidth="1"/>
    <col min="543" max="543" width="15.26953125" bestFit="1" customWidth="1"/>
    <col min="544" max="544" width="12.26953125" bestFit="1" customWidth="1"/>
    <col min="545" max="545" width="15.26953125" bestFit="1" customWidth="1"/>
    <col min="546" max="546" width="12.26953125" bestFit="1" customWidth="1"/>
    <col min="547" max="547" width="15.26953125" bestFit="1" customWidth="1"/>
    <col min="548" max="548" width="12.26953125" bestFit="1" customWidth="1"/>
    <col min="549" max="549" width="15.26953125" bestFit="1" customWidth="1"/>
    <col min="550" max="550" width="12.26953125" bestFit="1" customWidth="1"/>
    <col min="551" max="551" width="15.26953125" bestFit="1" customWidth="1"/>
    <col min="552" max="552" width="12.26953125" bestFit="1" customWidth="1"/>
    <col min="553" max="553" width="15.26953125" bestFit="1" customWidth="1"/>
    <col min="554" max="554" width="12.26953125" bestFit="1" customWidth="1"/>
    <col min="555" max="555" width="15.26953125" bestFit="1" customWidth="1"/>
    <col min="556" max="556" width="12.26953125" bestFit="1" customWidth="1"/>
    <col min="557" max="557" width="15.26953125" bestFit="1" customWidth="1"/>
    <col min="558" max="558" width="12.26953125" bestFit="1" customWidth="1"/>
    <col min="559" max="559" width="15.26953125" bestFit="1" customWidth="1"/>
    <col min="560" max="560" width="12.26953125" bestFit="1" customWidth="1"/>
    <col min="561" max="561" width="15.26953125" bestFit="1" customWidth="1"/>
    <col min="562" max="562" width="12.26953125" bestFit="1" customWidth="1"/>
    <col min="563" max="563" width="15.26953125" bestFit="1" customWidth="1"/>
    <col min="564" max="564" width="12.26953125" bestFit="1" customWidth="1"/>
    <col min="565" max="565" width="15.26953125" bestFit="1" customWidth="1"/>
    <col min="566" max="566" width="12.26953125" bestFit="1" customWidth="1"/>
    <col min="567" max="567" width="15.26953125" bestFit="1" customWidth="1"/>
    <col min="568" max="568" width="12.26953125" bestFit="1" customWidth="1"/>
    <col min="569" max="569" width="15.26953125" bestFit="1" customWidth="1"/>
    <col min="570" max="570" width="12.26953125" bestFit="1" customWidth="1"/>
    <col min="571" max="571" width="15.26953125" bestFit="1" customWidth="1"/>
    <col min="572" max="572" width="12.26953125" bestFit="1" customWidth="1"/>
    <col min="573" max="573" width="15.26953125" bestFit="1" customWidth="1"/>
    <col min="574" max="574" width="12.26953125" bestFit="1" customWidth="1"/>
    <col min="575" max="575" width="15.26953125" bestFit="1" customWidth="1"/>
    <col min="576" max="576" width="12.26953125" bestFit="1" customWidth="1"/>
    <col min="577" max="577" width="15.26953125" bestFit="1" customWidth="1"/>
    <col min="578" max="578" width="12.26953125" bestFit="1" customWidth="1"/>
    <col min="579" max="579" width="15.26953125" bestFit="1" customWidth="1"/>
    <col min="580" max="580" width="12.26953125" bestFit="1" customWidth="1"/>
    <col min="581" max="581" width="15.26953125" bestFit="1" customWidth="1"/>
    <col min="582" max="582" width="12.26953125" bestFit="1" customWidth="1"/>
    <col min="583" max="583" width="15.26953125" bestFit="1" customWidth="1"/>
    <col min="584" max="584" width="12.26953125" bestFit="1" customWidth="1"/>
    <col min="585" max="585" width="15.26953125" bestFit="1" customWidth="1"/>
    <col min="586" max="586" width="12.26953125" bestFit="1" customWidth="1"/>
    <col min="587" max="587" width="15.26953125" bestFit="1" customWidth="1"/>
    <col min="588" max="588" width="12.26953125" bestFit="1" customWidth="1"/>
    <col min="589" max="589" width="15.26953125" bestFit="1" customWidth="1"/>
    <col min="590" max="590" width="12.26953125" bestFit="1" customWidth="1"/>
    <col min="591" max="591" width="15.26953125" bestFit="1" customWidth="1"/>
    <col min="592" max="592" width="12.26953125" bestFit="1" customWidth="1"/>
    <col min="593" max="593" width="15.26953125" bestFit="1" customWidth="1"/>
    <col min="594" max="594" width="12.26953125" bestFit="1" customWidth="1"/>
    <col min="595" max="595" width="15.26953125" bestFit="1" customWidth="1"/>
    <col min="596" max="596" width="12.26953125" bestFit="1" customWidth="1"/>
    <col min="597" max="597" width="15.26953125" bestFit="1" customWidth="1"/>
    <col min="598" max="598" width="12.26953125" bestFit="1" customWidth="1"/>
    <col min="599" max="599" width="15.26953125" bestFit="1" customWidth="1"/>
    <col min="600" max="600" width="12.26953125" bestFit="1" customWidth="1"/>
    <col min="601" max="601" width="15.26953125" bestFit="1" customWidth="1"/>
    <col min="602" max="602" width="12.26953125" bestFit="1" customWidth="1"/>
    <col min="603" max="603" width="15.26953125" bestFit="1" customWidth="1"/>
    <col min="604" max="604" width="12.26953125" bestFit="1" customWidth="1"/>
    <col min="605" max="605" width="15.26953125" bestFit="1" customWidth="1"/>
    <col min="606" max="606" width="12.26953125" bestFit="1" customWidth="1"/>
    <col min="607" max="607" width="15.26953125" bestFit="1" customWidth="1"/>
    <col min="608" max="608" width="12.26953125" bestFit="1" customWidth="1"/>
    <col min="609" max="609" width="15.26953125" bestFit="1" customWidth="1"/>
    <col min="610" max="610" width="12.26953125" bestFit="1" customWidth="1"/>
    <col min="611" max="611" width="15.26953125" bestFit="1" customWidth="1"/>
    <col min="612" max="612" width="12.26953125" bestFit="1" customWidth="1"/>
    <col min="613" max="613" width="15.26953125" bestFit="1" customWidth="1"/>
    <col min="614" max="614" width="12.26953125" bestFit="1" customWidth="1"/>
    <col min="615" max="615" width="15.26953125" bestFit="1" customWidth="1"/>
    <col min="616" max="616" width="12.26953125" bestFit="1" customWidth="1"/>
    <col min="617" max="617" width="15.26953125" bestFit="1" customWidth="1"/>
    <col min="618" max="618" width="12.26953125" bestFit="1" customWidth="1"/>
    <col min="619" max="619" width="15.26953125" bestFit="1" customWidth="1"/>
    <col min="620" max="620" width="12.26953125" bestFit="1" customWidth="1"/>
    <col min="621" max="621" width="15.26953125" bestFit="1" customWidth="1"/>
    <col min="622" max="622" width="12.26953125" bestFit="1" customWidth="1"/>
    <col min="623" max="623" width="15.26953125" bestFit="1" customWidth="1"/>
    <col min="624" max="624" width="12.26953125" bestFit="1" customWidth="1"/>
    <col min="625" max="625" width="15.26953125" bestFit="1" customWidth="1"/>
    <col min="626" max="626" width="12.26953125" bestFit="1" customWidth="1"/>
    <col min="627" max="627" width="15.26953125" bestFit="1" customWidth="1"/>
    <col min="628" max="628" width="12.26953125" bestFit="1" customWidth="1"/>
    <col min="629" max="629" width="15.26953125" bestFit="1" customWidth="1"/>
    <col min="630" max="630" width="12.26953125" bestFit="1" customWidth="1"/>
    <col min="631" max="631" width="15.26953125" bestFit="1" customWidth="1"/>
    <col min="632" max="632" width="12.26953125" bestFit="1" customWidth="1"/>
    <col min="633" max="633" width="15.26953125" bestFit="1" customWidth="1"/>
    <col min="634" max="634" width="12.26953125" bestFit="1" customWidth="1"/>
    <col min="635" max="635" width="15.26953125" bestFit="1" customWidth="1"/>
    <col min="636" max="636" width="12.26953125" bestFit="1" customWidth="1"/>
    <col min="637" max="637" width="15.26953125" bestFit="1" customWidth="1"/>
    <col min="638" max="638" width="12.26953125" bestFit="1" customWidth="1"/>
    <col min="639" max="639" width="15.26953125" bestFit="1" customWidth="1"/>
    <col min="640" max="640" width="12.26953125" bestFit="1" customWidth="1"/>
    <col min="641" max="641" width="15.26953125" bestFit="1" customWidth="1"/>
    <col min="642" max="642" width="12.26953125" bestFit="1" customWidth="1"/>
    <col min="643" max="643" width="15.26953125" bestFit="1" customWidth="1"/>
    <col min="644" max="644" width="12.26953125" bestFit="1" customWidth="1"/>
    <col min="645" max="645" width="15.26953125" bestFit="1" customWidth="1"/>
    <col min="646" max="646" width="12.26953125" bestFit="1" customWidth="1"/>
    <col min="647" max="647" width="15.26953125" bestFit="1" customWidth="1"/>
    <col min="648" max="648" width="12.26953125" bestFit="1" customWidth="1"/>
    <col min="649" max="649" width="15.26953125" bestFit="1" customWidth="1"/>
    <col min="650" max="650" width="12.26953125" bestFit="1" customWidth="1"/>
    <col min="651" max="651" width="15.26953125" bestFit="1" customWidth="1"/>
    <col min="652" max="652" width="12.26953125" bestFit="1" customWidth="1"/>
    <col min="653" max="653" width="15.26953125" bestFit="1" customWidth="1"/>
    <col min="654" max="654" width="12.26953125" bestFit="1" customWidth="1"/>
    <col min="655" max="655" width="15.26953125" bestFit="1" customWidth="1"/>
    <col min="656" max="656" width="12.26953125" bestFit="1" customWidth="1"/>
    <col min="657" max="657" width="15.26953125" bestFit="1" customWidth="1"/>
    <col min="658" max="658" width="12.26953125" bestFit="1" customWidth="1"/>
    <col min="659" max="659" width="15.26953125" bestFit="1" customWidth="1"/>
    <col min="660" max="660" width="12.26953125" bestFit="1" customWidth="1"/>
    <col min="661" max="661" width="15.26953125" bestFit="1" customWidth="1"/>
    <col min="662" max="662" width="12.26953125" bestFit="1" customWidth="1"/>
    <col min="663" max="663" width="15.26953125" bestFit="1" customWidth="1"/>
    <col min="664" max="664" width="12.26953125" bestFit="1" customWidth="1"/>
    <col min="665" max="665" width="15.26953125" bestFit="1" customWidth="1"/>
    <col min="666" max="666" width="12.26953125" bestFit="1" customWidth="1"/>
    <col min="667" max="667" width="15.26953125" bestFit="1" customWidth="1"/>
    <col min="668" max="668" width="12.26953125" bestFit="1" customWidth="1"/>
    <col min="669" max="669" width="15.26953125" bestFit="1" customWidth="1"/>
    <col min="670" max="670" width="12.26953125" bestFit="1" customWidth="1"/>
    <col min="671" max="671" width="15.26953125" bestFit="1" customWidth="1"/>
    <col min="672" max="672" width="12.26953125" bestFit="1" customWidth="1"/>
    <col min="673" max="673" width="15.26953125" bestFit="1" customWidth="1"/>
    <col min="674" max="674" width="12.26953125" bestFit="1" customWidth="1"/>
    <col min="675" max="675" width="15.26953125" bestFit="1" customWidth="1"/>
    <col min="676" max="676" width="12.26953125" bestFit="1" customWidth="1"/>
    <col min="677" max="677" width="15.26953125" bestFit="1" customWidth="1"/>
    <col min="678" max="678" width="12.26953125" bestFit="1" customWidth="1"/>
    <col min="679" max="679" width="15.26953125" bestFit="1" customWidth="1"/>
    <col min="680" max="680" width="12.26953125" bestFit="1" customWidth="1"/>
    <col min="681" max="681" width="15.26953125" bestFit="1" customWidth="1"/>
    <col min="682" max="682" width="12.26953125" bestFit="1" customWidth="1"/>
    <col min="683" max="683" width="15.26953125" bestFit="1" customWidth="1"/>
    <col min="684" max="684" width="12.26953125" bestFit="1" customWidth="1"/>
    <col min="685" max="685" width="15.26953125" bestFit="1" customWidth="1"/>
    <col min="686" max="686" width="12.26953125" bestFit="1" customWidth="1"/>
    <col min="687" max="687" width="15.26953125" bestFit="1" customWidth="1"/>
    <col min="688" max="688" width="12.26953125" bestFit="1" customWidth="1"/>
    <col min="689" max="689" width="15.26953125" bestFit="1" customWidth="1"/>
    <col min="690" max="690" width="12.26953125" bestFit="1" customWidth="1"/>
    <col min="691" max="691" width="15.26953125" bestFit="1" customWidth="1"/>
    <col min="692" max="692" width="12.26953125" bestFit="1" customWidth="1"/>
    <col min="693" max="693" width="15.26953125" bestFit="1" customWidth="1"/>
    <col min="694" max="694" width="12.26953125" bestFit="1" customWidth="1"/>
    <col min="695" max="695" width="15.26953125" bestFit="1" customWidth="1"/>
    <col min="696" max="696" width="12.26953125" bestFit="1" customWidth="1"/>
    <col min="697" max="697" width="15.26953125" bestFit="1" customWidth="1"/>
    <col min="698" max="698" width="12.26953125" bestFit="1" customWidth="1"/>
    <col min="699" max="699" width="15.26953125" bestFit="1" customWidth="1"/>
    <col min="700" max="700" width="12.26953125" bestFit="1" customWidth="1"/>
    <col min="701" max="701" width="15.26953125" bestFit="1" customWidth="1"/>
    <col min="702" max="702" width="12.26953125" bestFit="1" customWidth="1"/>
    <col min="703" max="703" width="15.26953125" bestFit="1" customWidth="1"/>
    <col min="704" max="704" width="12.26953125" bestFit="1" customWidth="1"/>
    <col min="705" max="705" width="15.26953125" bestFit="1" customWidth="1"/>
    <col min="706" max="706" width="12.26953125" bestFit="1" customWidth="1"/>
    <col min="707" max="707" width="15.26953125" bestFit="1" customWidth="1"/>
    <col min="708" max="708" width="12.26953125" bestFit="1" customWidth="1"/>
    <col min="709" max="709" width="15.26953125" bestFit="1" customWidth="1"/>
    <col min="710" max="710" width="12.26953125" bestFit="1" customWidth="1"/>
    <col min="711" max="711" width="15.26953125" bestFit="1" customWidth="1"/>
    <col min="712" max="712" width="12.26953125" bestFit="1" customWidth="1"/>
    <col min="713" max="713" width="15.26953125" bestFit="1" customWidth="1"/>
    <col min="714" max="714" width="12.26953125" bestFit="1" customWidth="1"/>
    <col min="715" max="715" width="15.26953125" bestFit="1" customWidth="1"/>
    <col min="716" max="716" width="12.26953125" bestFit="1" customWidth="1"/>
    <col min="717" max="717" width="15.26953125" bestFit="1" customWidth="1"/>
    <col min="718" max="718" width="12.26953125" bestFit="1" customWidth="1"/>
    <col min="719" max="719" width="15.26953125" bestFit="1" customWidth="1"/>
    <col min="720" max="720" width="12.26953125" bestFit="1" customWidth="1"/>
    <col min="721" max="721" width="15.26953125" bestFit="1" customWidth="1"/>
    <col min="722" max="722" width="12.26953125" bestFit="1" customWidth="1"/>
    <col min="723" max="723" width="15.26953125" bestFit="1" customWidth="1"/>
    <col min="724" max="724" width="12.26953125" bestFit="1" customWidth="1"/>
    <col min="725" max="725" width="15.26953125" bestFit="1" customWidth="1"/>
    <col min="726" max="726" width="12.26953125" bestFit="1" customWidth="1"/>
    <col min="727" max="727" width="15.26953125" bestFit="1" customWidth="1"/>
    <col min="728" max="728" width="12.26953125" bestFit="1" customWidth="1"/>
    <col min="729" max="729" width="15.26953125" bestFit="1" customWidth="1"/>
    <col min="730" max="730" width="12.26953125" bestFit="1" customWidth="1"/>
    <col min="731" max="731" width="15.26953125" bestFit="1" customWidth="1"/>
    <col min="732" max="732" width="12.26953125" bestFit="1" customWidth="1"/>
    <col min="733" max="733" width="15.26953125" bestFit="1" customWidth="1"/>
    <col min="734" max="734" width="12.26953125" bestFit="1" customWidth="1"/>
    <col min="735" max="735" width="15.26953125" bestFit="1" customWidth="1"/>
    <col min="736" max="736" width="12.26953125" bestFit="1" customWidth="1"/>
    <col min="737" max="737" width="15.26953125" bestFit="1" customWidth="1"/>
    <col min="738" max="738" width="12.26953125" bestFit="1" customWidth="1"/>
    <col min="739" max="739" width="15.26953125" bestFit="1" customWidth="1"/>
    <col min="740" max="740" width="12.26953125" bestFit="1" customWidth="1"/>
    <col min="741" max="741" width="15.26953125" bestFit="1" customWidth="1"/>
    <col min="742" max="742" width="12.26953125" bestFit="1" customWidth="1"/>
    <col min="743" max="743" width="15.26953125" bestFit="1" customWidth="1"/>
    <col min="744" max="744" width="12.26953125" bestFit="1" customWidth="1"/>
    <col min="745" max="745" width="15.26953125" bestFit="1" customWidth="1"/>
    <col min="746" max="746" width="12.26953125" bestFit="1" customWidth="1"/>
    <col min="747" max="747" width="15.26953125" bestFit="1" customWidth="1"/>
    <col min="748" max="748" width="12.26953125" bestFit="1" customWidth="1"/>
    <col min="749" max="749" width="15.26953125" bestFit="1" customWidth="1"/>
    <col min="750" max="750" width="12.26953125" bestFit="1" customWidth="1"/>
    <col min="751" max="751" width="15.26953125" bestFit="1" customWidth="1"/>
    <col min="752" max="752" width="12.26953125" bestFit="1" customWidth="1"/>
    <col min="753" max="753" width="15.26953125" bestFit="1" customWidth="1"/>
    <col min="754" max="754" width="12.26953125" bestFit="1" customWidth="1"/>
    <col min="755" max="755" width="15.26953125" bestFit="1" customWidth="1"/>
    <col min="756" max="756" width="12.26953125" bestFit="1" customWidth="1"/>
    <col min="757" max="757" width="15.26953125" bestFit="1" customWidth="1"/>
    <col min="758" max="758" width="12.26953125" bestFit="1" customWidth="1"/>
    <col min="759" max="759" width="15.26953125" bestFit="1" customWidth="1"/>
    <col min="760" max="760" width="12.26953125" bestFit="1" customWidth="1"/>
    <col min="761" max="761" width="15.26953125" bestFit="1" customWidth="1"/>
    <col min="762" max="762" width="12.26953125" bestFit="1" customWidth="1"/>
    <col min="763" max="763" width="15.26953125" bestFit="1" customWidth="1"/>
    <col min="764" max="764" width="12.26953125" bestFit="1" customWidth="1"/>
    <col min="765" max="765" width="15.26953125" bestFit="1" customWidth="1"/>
    <col min="766" max="766" width="12.26953125" bestFit="1" customWidth="1"/>
    <col min="767" max="767" width="15.26953125" bestFit="1" customWidth="1"/>
    <col min="768" max="768" width="12.26953125" bestFit="1" customWidth="1"/>
    <col min="769" max="769" width="15.26953125" bestFit="1" customWidth="1"/>
    <col min="770" max="770" width="25.7265625" bestFit="1" customWidth="1"/>
    <col min="771" max="772" width="12.26953125" bestFit="1" customWidth="1"/>
    <col min="773" max="773" width="15.26953125" bestFit="1" customWidth="1"/>
    <col min="774" max="774" width="12.26953125" bestFit="1" customWidth="1"/>
    <col min="775" max="775" width="15.26953125" bestFit="1" customWidth="1"/>
    <col min="776" max="776" width="12.26953125" bestFit="1" customWidth="1"/>
    <col min="777" max="777" width="15.26953125" bestFit="1" customWidth="1"/>
    <col min="778" max="778" width="12.26953125" bestFit="1" customWidth="1"/>
    <col min="779" max="779" width="15.26953125" bestFit="1" customWidth="1"/>
    <col min="780" max="780" width="12.26953125" bestFit="1" customWidth="1"/>
    <col min="781" max="781" width="15.26953125" bestFit="1" customWidth="1"/>
    <col min="782" max="782" width="12.26953125" bestFit="1" customWidth="1"/>
    <col min="783" max="783" width="15.26953125" bestFit="1" customWidth="1"/>
    <col min="784" max="784" width="12.26953125" bestFit="1" customWidth="1"/>
    <col min="785" max="785" width="15.26953125" bestFit="1" customWidth="1"/>
    <col min="786" max="786" width="12.26953125" bestFit="1" customWidth="1"/>
    <col min="787" max="787" width="15.26953125" bestFit="1" customWidth="1"/>
    <col min="788" max="788" width="12.26953125" bestFit="1" customWidth="1"/>
    <col min="789" max="789" width="15.26953125" bestFit="1" customWidth="1"/>
    <col min="790" max="790" width="12.26953125" bestFit="1" customWidth="1"/>
    <col min="791" max="791" width="15.26953125" bestFit="1" customWidth="1"/>
    <col min="792" max="792" width="12.26953125" bestFit="1" customWidth="1"/>
    <col min="793" max="793" width="15.26953125" bestFit="1" customWidth="1"/>
    <col min="794" max="794" width="12.26953125" bestFit="1" customWidth="1"/>
    <col min="795" max="795" width="15.26953125" bestFit="1" customWidth="1"/>
    <col min="796" max="796" width="12.26953125" bestFit="1" customWidth="1"/>
    <col min="797" max="797" width="15.26953125" bestFit="1" customWidth="1"/>
    <col min="798" max="798" width="12.26953125" bestFit="1" customWidth="1"/>
    <col min="799" max="799" width="15.26953125" bestFit="1" customWidth="1"/>
    <col min="800" max="800" width="12.26953125" bestFit="1" customWidth="1"/>
    <col min="801" max="801" width="15.26953125" bestFit="1" customWidth="1"/>
    <col min="802" max="802" width="12.26953125" bestFit="1" customWidth="1"/>
    <col min="803" max="803" width="15.26953125" bestFit="1" customWidth="1"/>
    <col min="804" max="804" width="12.26953125" bestFit="1" customWidth="1"/>
    <col min="805" max="805" width="15.26953125" bestFit="1" customWidth="1"/>
    <col min="806" max="806" width="12.26953125" bestFit="1" customWidth="1"/>
    <col min="807" max="807" width="15.26953125" bestFit="1" customWidth="1"/>
    <col min="808" max="808" width="12.26953125" bestFit="1" customWidth="1"/>
    <col min="809" max="809" width="15.26953125" bestFit="1" customWidth="1"/>
    <col min="810" max="810" width="12.26953125" bestFit="1" customWidth="1"/>
    <col min="811" max="811" width="15.26953125" bestFit="1" customWidth="1"/>
    <col min="812" max="812" width="12.26953125" bestFit="1" customWidth="1"/>
    <col min="813" max="813" width="15.26953125" bestFit="1" customWidth="1"/>
    <col min="814" max="814" width="12.26953125" bestFit="1" customWidth="1"/>
    <col min="815" max="815" width="15.26953125" bestFit="1" customWidth="1"/>
    <col min="816" max="816" width="12.26953125" bestFit="1" customWidth="1"/>
    <col min="817" max="817" width="15.26953125" bestFit="1" customWidth="1"/>
    <col min="818" max="818" width="12.26953125" bestFit="1" customWidth="1"/>
    <col min="819" max="819" width="15.26953125" bestFit="1" customWidth="1"/>
    <col min="820" max="820" width="12.26953125" bestFit="1" customWidth="1"/>
    <col min="821" max="821" width="15.26953125" bestFit="1" customWidth="1"/>
    <col min="822" max="822" width="12.26953125" bestFit="1" customWidth="1"/>
    <col min="823" max="823" width="15.26953125" bestFit="1" customWidth="1"/>
    <col min="824" max="824" width="12.26953125" bestFit="1" customWidth="1"/>
    <col min="825" max="825" width="15.26953125" bestFit="1" customWidth="1"/>
    <col min="826" max="826" width="12.26953125" bestFit="1" customWidth="1"/>
    <col min="827" max="827" width="15.26953125" bestFit="1" customWidth="1"/>
    <col min="828" max="828" width="12.26953125" bestFit="1" customWidth="1"/>
    <col min="829" max="829" width="15.26953125" bestFit="1" customWidth="1"/>
    <col min="830" max="830" width="12.26953125" bestFit="1" customWidth="1"/>
    <col min="831" max="831" width="15.26953125" bestFit="1" customWidth="1"/>
    <col min="832" max="832" width="12.26953125" bestFit="1" customWidth="1"/>
    <col min="833" max="833" width="15.26953125" bestFit="1" customWidth="1"/>
    <col min="834" max="834" width="12.26953125" bestFit="1" customWidth="1"/>
    <col min="835" max="835" width="15.26953125" bestFit="1" customWidth="1"/>
    <col min="836" max="836" width="12.26953125" bestFit="1" customWidth="1"/>
    <col min="837" max="837" width="15.26953125" bestFit="1" customWidth="1"/>
    <col min="838" max="838" width="12.26953125" bestFit="1" customWidth="1"/>
    <col min="839" max="839" width="15.26953125" bestFit="1" customWidth="1"/>
    <col min="840" max="840" width="12.26953125" bestFit="1" customWidth="1"/>
    <col min="841" max="841" width="15.26953125" bestFit="1" customWidth="1"/>
    <col min="842" max="842" width="12.26953125" bestFit="1" customWidth="1"/>
    <col min="843" max="843" width="15.26953125" bestFit="1" customWidth="1"/>
    <col min="844" max="844" width="12.26953125" bestFit="1" customWidth="1"/>
    <col min="845" max="845" width="15.26953125" bestFit="1" customWidth="1"/>
    <col min="846" max="846" width="12.26953125" bestFit="1" customWidth="1"/>
    <col min="847" max="847" width="15.26953125" bestFit="1" customWidth="1"/>
    <col min="848" max="848" width="12.26953125" bestFit="1" customWidth="1"/>
    <col min="849" max="849" width="15.26953125" bestFit="1" customWidth="1"/>
    <col min="850" max="850" width="12.26953125" bestFit="1" customWidth="1"/>
    <col min="851" max="851" width="15.26953125" bestFit="1" customWidth="1"/>
    <col min="852" max="852" width="12.26953125" bestFit="1" customWidth="1"/>
    <col min="853" max="853" width="15.26953125" bestFit="1" customWidth="1"/>
    <col min="854" max="854" width="12.26953125" bestFit="1" customWidth="1"/>
    <col min="855" max="855" width="15.26953125" bestFit="1" customWidth="1"/>
    <col min="856" max="856" width="12.26953125" bestFit="1" customWidth="1"/>
    <col min="857" max="857" width="15.26953125" bestFit="1" customWidth="1"/>
    <col min="858" max="858" width="12.26953125" bestFit="1" customWidth="1"/>
    <col min="859" max="859" width="15.26953125" bestFit="1" customWidth="1"/>
    <col min="860" max="860" width="12.26953125" bestFit="1" customWidth="1"/>
    <col min="861" max="861" width="15.26953125" bestFit="1" customWidth="1"/>
    <col min="862" max="862" width="12.26953125" bestFit="1" customWidth="1"/>
    <col min="863" max="863" width="15.26953125" bestFit="1" customWidth="1"/>
    <col min="864" max="864" width="12.26953125" bestFit="1" customWidth="1"/>
    <col min="865" max="865" width="15.26953125" bestFit="1" customWidth="1"/>
    <col min="866" max="866" width="12.26953125" bestFit="1" customWidth="1"/>
    <col min="867" max="867" width="15.26953125" bestFit="1" customWidth="1"/>
    <col min="868" max="868" width="12.26953125" bestFit="1" customWidth="1"/>
    <col min="869" max="869" width="15.26953125" bestFit="1" customWidth="1"/>
    <col min="870" max="870" width="12.26953125" bestFit="1" customWidth="1"/>
    <col min="871" max="871" width="15.26953125" bestFit="1" customWidth="1"/>
    <col min="872" max="872" width="12.26953125" bestFit="1" customWidth="1"/>
    <col min="873" max="873" width="15.26953125" bestFit="1" customWidth="1"/>
    <col min="874" max="874" width="12.26953125" bestFit="1" customWidth="1"/>
    <col min="875" max="875" width="15.26953125" bestFit="1" customWidth="1"/>
    <col min="876" max="876" width="12.26953125" bestFit="1" customWidth="1"/>
    <col min="877" max="877" width="15.26953125" bestFit="1" customWidth="1"/>
    <col min="878" max="878" width="12.26953125" bestFit="1" customWidth="1"/>
    <col min="879" max="879" width="15.26953125" bestFit="1" customWidth="1"/>
    <col min="880" max="880" width="12.26953125" bestFit="1" customWidth="1"/>
    <col min="881" max="881" width="15.26953125" bestFit="1" customWidth="1"/>
    <col min="882" max="882" width="12.26953125" bestFit="1" customWidth="1"/>
    <col min="883" max="883" width="15.26953125" bestFit="1" customWidth="1"/>
    <col min="884" max="884" width="12.26953125" bestFit="1" customWidth="1"/>
    <col min="885" max="885" width="15.26953125" bestFit="1" customWidth="1"/>
    <col min="886" max="886" width="12.26953125" bestFit="1" customWidth="1"/>
    <col min="887" max="887" width="15.26953125" bestFit="1" customWidth="1"/>
    <col min="888" max="888" width="12.26953125" bestFit="1" customWidth="1"/>
    <col min="889" max="889" width="15.26953125" bestFit="1" customWidth="1"/>
    <col min="890" max="890" width="12.26953125" bestFit="1" customWidth="1"/>
    <col min="891" max="891" width="15.26953125" bestFit="1" customWidth="1"/>
    <col min="892" max="892" width="12.26953125" bestFit="1" customWidth="1"/>
    <col min="893" max="893" width="15.26953125" bestFit="1" customWidth="1"/>
    <col min="894" max="894" width="12.26953125" bestFit="1" customWidth="1"/>
    <col min="895" max="895" width="15.26953125" bestFit="1" customWidth="1"/>
    <col min="896" max="896" width="12.26953125" bestFit="1" customWidth="1"/>
    <col min="897" max="897" width="15.26953125" bestFit="1" customWidth="1"/>
    <col min="898" max="898" width="12.26953125" bestFit="1" customWidth="1"/>
    <col min="899" max="899" width="15.26953125" bestFit="1" customWidth="1"/>
    <col min="900" max="900" width="12.26953125" bestFit="1" customWidth="1"/>
    <col min="901" max="901" width="15.26953125" bestFit="1" customWidth="1"/>
    <col min="902" max="902" width="12.26953125" bestFit="1" customWidth="1"/>
    <col min="903" max="903" width="15.26953125" bestFit="1" customWidth="1"/>
    <col min="904" max="904" width="12.26953125" bestFit="1" customWidth="1"/>
    <col min="905" max="905" width="15.26953125" bestFit="1" customWidth="1"/>
    <col min="906" max="906" width="12.26953125" bestFit="1" customWidth="1"/>
    <col min="907" max="907" width="15.26953125" bestFit="1" customWidth="1"/>
    <col min="908" max="908" width="12.26953125" bestFit="1" customWidth="1"/>
    <col min="909" max="909" width="15.26953125" bestFit="1" customWidth="1"/>
    <col min="910" max="910" width="12.26953125" bestFit="1" customWidth="1"/>
    <col min="911" max="911" width="15.26953125" bestFit="1" customWidth="1"/>
    <col min="912" max="912" width="12.26953125" bestFit="1" customWidth="1"/>
    <col min="913" max="913" width="15.26953125" bestFit="1" customWidth="1"/>
    <col min="914" max="914" width="12.26953125" bestFit="1" customWidth="1"/>
    <col min="915" max="915" width="15.26953125" bestFit="1" customWidth="1"/>
    <col min="916" max="916" width="12.26953125" bestFit="1" customWidth="1"/>
    <col min="917" max="917" width="15.26953125" bestFit="1" customWidth="1"/>
    <col min="918" max="918" width="12.26953125" bestFit="1" customWidth="1"/>
    <col min="919" max="919" width="15.26953125" bestFit="1" customWidth="1"/>
    <col min="920" max="920" width="12.26953125" bestFit="1" customWidth="1"/>
    <col min="921" max="921" width="15.26953125" bestFit="1" customWidth="1"/>
    <col min="922" max="922" width="12.26953125" bestFit="1" customWidth="1"/>
    <col min="923" max="923" width="15.26953125" bestFit="1" customWidth="1"/>
    <col min="924" max="924" width="12.26953125" bestFit="1" customWidth="1"/>
    <col min="925" max="925" width="15.26953125" bestFit="1" customWidth="1"/>
    <col min="926" max="926" width="12.26953125" bestFit="1" customWidth="1"/>
    <col min="927" max="927" width="15.26953125" bestFit="1" customWidth="1"/>
    <col min="928" max="928" width="12.26953125" bestFit="1" customWidth="1"/>
    <col min="929" max="929" width="15.26953125" bestFit="1" customWidth="1"/>
    <col min="930" max="930" width="12.26953125" bestFit="1" customWidth="1"/>
    <col min="931" max="931" width="15.26953125" bestFit="1" customWidth="1"/>
    <col min="932" max="932" width="12.26953125" bestFit="1" customWidth="1"/>
    <col min="933" max="933" width="15.26953125" bestFit="1" customWidth="1"/>
    <col min="934" max="934" width="12.26953125" bestFit="1" customWidth="1"/>
    <col min="935" max="935" width="15.26953125" bestFit="1" customWidth="1"/>
    <col min="936" max="936" width="12.26953125" bestFit="1" customWidth="1"/>
    <col min="937" max="937" width="15.26953125" bestFit="1" customWidth="1"/>
    <col min="938" max="938" width="12.26953125" bestFit="1" customWidth="1"/>
    <col min="939" max="939" width="15.26953125" bestFit="1" customWidth="1"/>
    <col min="940" max="940" width="12.26953125" bestFit="1" customWidth="1"/>
    <col min="941" max="941" width="15.26953125" bestFit="1" customWidth="1"/>
    <col min="942" max="942" width="12.26953125" bestFit="1" customWidth="1"/>
    <col min="943" max="943" width="15.26953125" bestFit="1" customWidth="1"/>
    <col min="944" max="944" width="12.26953125" bestFit="1" customWidth="1"/>
    <col min="945" max="945" width="15.26953125" bestFit="1" customWidth="1"/>
    <col min="946" max="946" width="12.26953125" bestFit="1" customWidth="1"/>
    <col min="947" max="947" width="15.26953125" bestFit="1" customWidth="1"/>
    <col min="948" max="948" width="12.26953125" bestFit="1" customWidth="1"/>
    <col min="949" max="949" width="15.26953125" bestFit="1" customWidth="1"/>
    <col min="950" max="950" width="12.26953125" bestFit="1" customWidth="1"/>
    <col min="951" max="951" width="15.26953125" bestFit="1" customWidth="1"/>
    <col min="952" max="952" width="12.26953125" bestFit="1" customWidth="1"/>
    <col min="953" max="953" width="15.26953125" bestFit="1" customWidth="1"/>
    <col min="954" max="954" width="12.26953125" bestFit="1" customWidth="1"/>
    <col min="955" max="955" width="15.26953125" bestFit="1" customWidth="1"/>
    <col min="956" max="956" width="12.26953125" bestFit="1" customWidth="1"/>
    <col min="957" max="957" width="15.26953125" bestFit="1" customWidth="1"/>
    <col min="958" max="958" width="12.26953125" bestFit="1" customWidth="1"/>
    <col min="959" max="959" width="15.26953125" bestFit="1" customWidth="1"/>
    <col min="960" max="960" width="12.26953125" bestFit="1" customWidth="1"/>
    <col min="961" max="961" width="15.26953125" bestFit="1" customWidth="1"/>
    <col min="962" max="962" width="12.26953125" bestFit="1" customWidth="1"/>
    <col min="963" max="963" width="15.26953125" bestFit="1" customWidth="1"/>
    <col min="964" max="964" width="12.26953125" bestFit="1" customWidth="1"/>
    <col min="965" max="965" width="15.26953125" bestFit="1" customWidth="1"/>
    <col min="966" max="966" width="12.26953125" bestFit="1" customWidth="1"/>
    <col min="967" max="967" width="15.26953125" bestFit="1" customWidth="1"/>
    <col min="968" max="968" width="12.26953125" bestFit="1" customWidth="1"/>
    <col min="969" max="969" width="15.26953125" bestFit="1" customWidth="1"/>
    <col min="970" max="970" width="12.26953125" bestFit="1" customWidth="1"/>
    <col min="971" max="971" width="15.26953125" bestFit="1" customWidth="1"/>
    <col min="972" max="972" width="12.26953125" bestFit="1" customWidth="1"/>
    <col min="973" max="973" width="15.26953125" bestFit="1" customWidth="1"/>
    <col min="974" max="974" width="12.26953125" bestFit="1" customWidth="1"/>
    <col min="975" max="975" width="15.26953125" bestFit="1" customWidth="1"/>
    <col min="976" max="976" width="12.26953125" bestFit="1" customWidth="1"/>
    <col min="977" max="977" width="15.26953125" bestFit="1" customWidth="1"/>
    <col min="978" max="978" width="12.26953125" bestFit="1" customWidth="1"/>
    <col min="979" max="979" width="15.26953125" bestFit="1" customWidth="1"/>
    <col min="980" max="980" width="12.26953125" bestFit="1" customWidth="1"/>
    <col min="981" max="981" width="15.26953125" bestFit="1" customWidth="1"/>
    <col min="982" max="982" width="12.26953125" bestFit="1" customWidth="1"/>
    <col min="983" max="983" width="15.26953125" bestFit="1" customWidth="1"/>
    <col min="984" max="984" width="12.26953125" bestFit="1" customWidth="1"/>
    <col min="985" max="985" width="15.26953125" bestFit="1" customWidth="1"/>
    <col min="986" max="986" width="12.26953125" bestFit="1" customWidth="1"/>
    <col min="987" max="987" width="15.26953125" bestFit="1" customWidth="1"/>
    <col min="988" max="988" width="12.26953125" bestFit="1" customWidth="1"/>
    <col min="989" max="989" width="15.26953125" bestFit="1" customWidth="1"/>
    <col min="990" max="990" width="12.26953125" bestFit="1" customWidth="1"/>
    <col min="991" max="991" width="15.26953125" bestFit="1" customWidth="1"/>
    <col min="992" max="992" width="12.26953125" bestFit="1" customWidth="1"/>
    <col min="993" max="993" width="15.26953125" bestFit="1" customWidth="1"/>
    <col min="994" max="994" width="12.26953125" bestFit="1" customWidth="1"/>
    <col min="995" max="995" width="15.26953125" bestFit="1" customWidth="1"/>
    <col min="996" max="996" width="12.26953125" bestFit="1" customWidth="1"/>
    <col min="997" max="997" width="15.26953125" bestFit="1" customWidth="1"/>
    <col min="998" max="998" width="12.26953125" bestFit="1" customWidth="1"/>
    <col min="999" max="999" width="15.26953125" bestFit="1" customWidth="1"/>
    <col min="1000" max="1000" width="12.26953125" bestFit="1" customWidth="1"/>
    <col min="1001" max="1001" width="15.26953125" bestFit="1" customWidth="1"/>
    <col min="1002" max="1002" width="12.26953125" bestFit="1" customWidth="1"/>
    <col min="1003" max="1003" width="15.26953125" bestFit="1" customWidth="1"/>
    <col min="1004" max="1004" width="12.26953125" bestFit="1" customWidth="1"/>
    <col min="1005" max="1005" width="15.26953125" bestFit="1" customWidth="1"/>
    <col min="1006" max="1006" width="12.26953125" bestFit="1" customWidth="1"/>
    <col min="1007" max="1007" width="15.26953125" bestFit="1" customWidth="1"/>
    <col min="1008" max="1008" width="12.26953125" bestFit="1" customWidth="1"/>
    <col min="1009" max="1009" width="15.26953125" bestFit="1" customWidth="1"/>
    <col min="1010" max="1010" width="12.26953125" bestFit="1" customWidth="1"/>
    <col min="1011" max="1011" width="15.26953125" bestFit="1" customWidth="1"/>
    <col min="1012" max="1012" width="12.26953125" bestFit="1" customWidth="1"/>
    <col min="1013" max="1013" width="15.26953125" bestFit="1" customWidth="1"/>
    <col min="1014" max="1014" width="12.26953125" bestFit="1" customWidth="1"/>
    <col min="1015" max="1015" width="15.26953125" bestFit="1" customWidth="1"/>
    <col min="1016" max="1016" width="12.26953125" bestFit="1" customWidth="1"/>
    <col min="1017" max="1017" width="15.26953125" bestFit="1" customWidth="1"/>
    <col min="1018" max="1018" width="12.26953125" bestFit="1" customWidth="1"/>
    <col min="1019" max="1019" width="15.26953125" bestFit="1" customWidth="1"/>
    <col min="1020" max="1020" width="12.26953125" bestFit="1" customWidth="1"/>
    <col min="1021" max="1021" width="15.26953125" bestFit="1" customWidth="1"/>
    <col min="1022" max="1022" width="12.26953125" bestFit="1" customWidth="1"/>
    <col min="1023" max="1023" width="15.26953125" bestFit="1" customWidth="1"/>
    <col min="1024" max="1024" width="12.26953125" bestFit="1" customWidth="1"/>
    <col min="1025" max="1025" width="15.26953125" bestFit="1" customWidth="1"/>
    <col min="1026" max="1026" width="19.1796875" bestFit="1" customWidth="1"/>
    <col min="1027" max="1027" width="23" bestFit="1" customWidth="1"/>
    <col min="1028" max="1028" width="30" bestFit="1" customWidth="1"/>
    <col min="1029" max="1029" width="30.54296875" bestFit="1" customWidth="1"/>
    <col min="1030" max="1030" width="19.1796875" bestFit="1" customWidth="1"/>
    <col min="1031" max="1031" width="23" bestFit="1" customWidth="1"/>
    <col min="1032" max="1032" width="30" bestFit="1" customWidth="1"/>
    <col min="1033" max="1033" width="30.54296875" bestFit="1" customWidth="1"/>
    <col min="1034" max="1034" width="19.1796875" bestFit="1" customWidth="1"/>
    <col min="1035" max="1035" width="23" bestFit="1" customWidth="1"/>
    <col min="1036" max="1036" width="30" bestFit="1" customWidth="1"/>
    <col min="1037" max="1037" width="30.54296875" bestFit="1" customWidth="1"/>
  </cols>
  <sheetData>
    <row r="3" spans="1:9" x14ac:dyDescent="0.35">
      <c r="A3" t="s">
        <v>21</v>
      </c>
      <c r="B3" t="s">
        <v>23</v>
      </c>
      <c r="C3" t="s">
        <v>32</v>
      </c>
      <c r="D3" t="s">
        <v>24</v>
      </c>
      <c r="E3" t="s">
        <v>30</v>
      </c>
      <c r="F3" t="s">
        <v>31</v>
      </c>
    </row>
    <row r="4" spans="1:9" x14ac:dyDescent="0.35">
      <c r="A4" s="20">
        <v>41205.919999999998</v>
      </c>
      <c r="B4" s="22">
        <v>727</v>
      </c>
      <c r="C4" s="32">
        <v>150</v>
      </c>
      <c r="D4" s="32">
        <v>98</v>
      </c>
      <c r="E4" s="22">
        <v>50</v>
      </c>
      <c r="F4" s="32">
        <v>48</v>
      </c>
    </row>
    <row r="5" spans="1:9" x14ac:dyDescent="0.35">
      <c r="A5" s="20"/>
      <c r="B5" s="22"/>
      <c r="C5" s="22"/>
      <c r="D5" s="22"/>
    </row>
    <row r="6" spans="1:9" x14ac:dyDescent="0.35">
      <c r="D6" s="25">
        <f>D4/C4</f>
        <v>0.65333333333333332</v>
      </c>
      <c r="F6" s="25">
        <f>F4/E4</f>
        <v>0.96</v>
      </c>
    </row>
    <row r="7" spans="1:9" x14ac:dyDescent="0.35">
      <c r="C7" s="24"/>
      <c r="D7" s="25"/>
    </row>
    <row r="8" spans="1:9" x14ac:dyDescent="0.35">
      <c r="A8" s="1" t="s">
        <v>35</v>
      </c>
      <c r="B8" t="s" vm="1">
        <v>27</v>
      </c>
      <c r="C8" s="22"/>
      <c r="D8" s="22"/>
    </row>
    <row r="10" spans="1:9" x14ac:dyDescent="0.35">
      <c r="A10" s="1" t="s">
        <v>18</v>
      </c>
      <c r="B10" t="s">
        <v>9</v>
      </c>
      <c r="C10" t="s">
        <v>26</v>
      </c>
      <c r="D10" s="28"/>
      <c r="E10" s="1" t="s">
        <v>18</v>
      </c>
      <c r="F10" t="s">
        <v>34</v>
      </c>
      <c r="G10" t="s">
        <v>33</v>
      </c>
      <c r="H10" s="23" t="s">
        <v>44</v>
      </c>
      <c r="I10" s="23" t="s">
        <v>45</v>
      </c>
    </row>
    <row r="11" spans="1:9" x14ac:dyDescent="0.35">
      <c r="A11" s="2" t="s">
        <v>28</v>
      </c>
      <c r="B11" s="42"/>
      <c r="C11" s="22"/>
      <c r="D11" s="29"/>
      <c r="E11" s="2" t="s">
        <v>36</v>
      </c>
      <c r="F11" s="27"/>
      <c r="G11" s="27"/>
      <c r="H11" s="35">
        <v>-0.62398564598381279</v>
      </c>
      <c r="I11" s="35">
        <v>-0.60849056603773588</v>
      </c>
    </row>
    <row r="12" spans="1:9" x14ac:dyDescent="0.35">
      <c r="A12" s="21" t="s">
        <v>40</v>
      </c>
      <c r="B12" s="42">
        <v>11899.77</v>
      </c>
      <c r="C12" s="22">
        <v>200</v>
      </c>
      <c r="D12" s="29"/>
      <c r="E12" s="2" t="s">
        <v>37</v>
      </c>
      <c r="F12" s="27">
        <v>0.15576939722364372</v>
      </c>
      <c r="G12" s="27">
        <v>0.16</v>
      </c>
      <c r="H12" s="36"/>
      <c r="I12" s="36"/>
    </row>
    <row r="13" spans="1:9" x14ac:dyDescent="0.35">
      <c r="A13" s="21" t="s">
        <v>41</v>
      </c>
      <c r="B13" s="42">
        <v>13753.39</v>
      </c>
      <c r="C13" s="22">
        <v>232</v>
      </c>
      <c r="D13" s="29"/>
      <c r="E13" s="2" t="s">
        <v>38</v>
      </c>
      <c r="F13" s="27">
        <v>-0.17818370598085267</v>
      </c>
      <c r="G13" s="27">
        <v>-8.6206896551724144E-2</v>
      </c>
      <c r="H13" s="36"/>
      <c r="I13" s="36"/>
    </row>
    <row r="14" spans="1:9" x14ac:dyDescent="0.35">
      <c r="A14" s="21" t="s">
        <v>42</v>
      </c>
      <c r="B14" s="42">
        <v>11302.76</v>
      </c>
      <c r="C14" s="22">
        <v>212</v>
      </c>
      <c r="D14" s="29"/>
      <c r="E14" s="2" t="s">
        <v>39</v>
      </c>
      <c r="F14" s="27">
        <v>-0.62398564598381279</v>
      </c>
      <c r="G14" s="27">
        <v>-0.60849056603773588</v>
      </c>
      <c r="H14" s="36"/>
      <c r="I14" s="36"/>
    </row>
    <row r="15" spans="1:9" x14ac:dyDescent="0.35">
      <c r="A15" s="21" t="s">
        <v>43</v>
      </c>
      <c r="B15" s="42">
        <v>4250</v>
      </c>
      <c r="C15" s="22">
        <v>83</v>
      </c>
      <c r="D15" s="29"/>
      <c r="H15" s="36"/>
      <c r="I15" s="36"/>
    </row>
    <row r="16" spans="1:9" x14ac:dyDescent="0.35">
      <c r="A16" s="2" t="s">
        <v>29</v>
      </c>
      <c r="B16" s="42">
        <v>41205.919999999998</v>
      </c>
      <c r="C16" s="22">
        <v>727</v>
      </c>
      <c r="D16" s="29"/>
      <c r="H16" s="36"/>
      <c r="I16" s="36"/>
    </row>
    <row r="17" spans="1:9" x14ac:dyDescent="0.35">
      <c r="A17" s="2" t="s">
        <v>19</v>
      </c>
      <c r="B17" s="20">
        <v>41205.919999999998</v>
      </c>
      <c r="C17" s="22">
        <v>727</v>
      </c>
      <c r="D17" s="29"/>
      <c r="H17" s="36"/>
      <c r="I17" s="36"/>
    </row>
    <row r="18" spans="1:9" x14ac:dyDescent="0.35">
      <c r="D18" s="29"/>
      <c r="H18" s="36"/>
      <c r="I18" s="36"/>
    </row>
    <row r="19" spans="1:9" x14ac:dyDescent="0.35">
      <c r="D19" s="30"/>
      <c r="H19" s="36"/>
      <c r="I19" s="36"/>
    </row>
    <row r="20" spans="1:9" x14ac:dyDescent="0.35">
      <c r="D20" s="25"/>
      <c r="F20" s="27"/>
      <c r="G20" s="27"/>
    </row>
    <row r="21" spans="1:9" x14ac:dyDescent="0.35">
      <c r="D21" s="25"/>
    </row>
    <row r="35" spans="1:15" x14ac:dyDescent="0.35">
      <c r="A35" s="1" t="s">
        <v>23</v>
      </c>
      <c r="B35" s="1" t="s">
        <v>25</v>
      </c>
      <c r="I35" s="1" t="s">
        <v>23</v>
      </c>
      <c r="J35" s="1" t="s">
        <v>25</v>
      </c>
    </row>
    <row r="36" spans="1:15" x14ac:dyDescent="0.35">
      <c r="A36" s="1" t="s">
        <v>18</v>
      </c>
      <c r="B36" t="s">
        <v>5</v>
      </c>
      <c r="C36" t="s">
        <v>8</v>
      </c>
      <c r="D36" t="s">
        <v>7</v>
      </c>
      <c r="E36" t="s">
        <v>6</v>
      </c>
      <c r="F36" t="s">
        <v>4</v>
      </c>
      <c r="G36" t="s">
        <v>19</v>
      </c>
      <c r="I36" s="1" t="s">
        <v>18</v>
      </c>
      <c r="J36" t="s">
        <v>5</v>
      </c>
      <c r="K36" t="s">
        <v>8</v>
      </c>
      <c r="L36" t="s">
        <v>7</v>
      </c>
      <c r="M36" t="s">
        <v>6</v>
      </c>
      <c r="N36" t="s">
        <v>4</v>
      </c>
      <c r="O36" t="s">
        <v>19</v>
      </c>
    </row>
    <row r="37" spans="1:15" x14ac:dyDescent="0.35">
      <c r="A37" s="2" t="s">
        <v>28</v>
      </c>
      <c r="B37" s="42"/>
      <c r="C37" s="42"/>
      <c r="D37" s="42"/>
      <c r="E37" s="42"/>
      <c r="F37" s="42"/>
      <c r="G37" s="33"/>
      <c r="I37" s="2" t="s">
        <v>47</v>
      </c>
      <c r="J37" s="42"/>
      <c r="K37" s="42">
        <v>18</v>
      </c>
      <c r="L37" s="42">
        <v>4</v>
      </c>
      <c r="M37" s="42">
        <v>10</v>
      </c>
      <c r="N37" s="42">
        <v>2</v>
      </c>
      <c r="O37" s="42">
        <v>34</v>
      </c>
    </row>
    <row r="38" spans="1:15" x14ac:dyDescent="0.35">
      <c r="A38" s="21" t="s">
        <v>40</v>
      </c>
      <c r="B38" s="42">
        <v>41</v>
      </c>
      <c r="C38" s="42">
        <v>89</v>
      </c>
      <c r="D38" s="42">
        <v>11</v>
      </c>
      <c r="E38" s="42">
        <v>22</v>
      </c>
      <c r="F38" s="42">
        <v>37</v>
      </c>
      <c r="G38" s="33">
        <v>200</v>
      </c>
      <c r="I38" s="2" t="s">
        <v>48</v>
      </c>
      <c r="J38" s="42">
        <v>44</v>
      </c>
      <c r="K38" s="42">
        <v>96</v>
      </c>
      <c r="L38" s="42">
        <v>24</v>
      </c>
      <c r="M38" s="42">
        <v>75</v>
      </c>
      <c r="N38" s="42">
        <v>39</v>
      </c>
      <c r="O38" s="42">
        <v>278</v>
      </c>
    </row>
    <row r="39" spans="1:15" x14ac:dyDescent="0.35">
      <c r="A39" s="21" t="s">
        <v>41</v>
      </c>
      <c r="B39" s="42">
        <v>51</v>
      </c>
      <c r="C39" s="42">
        <v>32</v>
      </c>
      <c r="D39" s="42">
        <v>50</v>
      </c>
      <c r="E39" s="42">
        <v>86</v>
      </c>
      <c r="F39" s="42">
        <v>13</v>
      </c>
      <c r="G39" s="33">
        <v>232</v>
      </c>
      <c r="I39" s="2" t="s">
        <v>49</v>
      </c>
      <c r="J39" s="42">
        <v>50</v>
      </c>
      <c r="K39" s="42">
        <v>91</v>
      </c>
      <c r="L39" s="42">
        <v>52</v>
      </c>
      <c r="M39" s="42">
        <v>71</v>
      </c>
      <c r="N39" s="42">
        <v>29</v>
      </c>
      <c r="O39" s="42">
        <v>293</v>
      </c>
    </row>
    <row r="40" spans="1:15" x14ac:dyDescent="0.35">
      <c r="A40" s="21" t="s">
        <v>42</v>
      </c>
      <c r="B40" s="42">
        <v>26</v>
      </c>
      <c r="C40" s="42">
        <v>85</v>
      </c>
      <c r="D40" s="42">
        <v>27</v>
      </c>
      <c r="E40" s="42">
        <v>45</v>
      </c>
      <c r="F40" s="42">
        <v>29</v>
      </c>
      <c r="G40" s="33">
        <v>212</v>
      </c>
      <c r="I40" s="2" t="s">
        <v>50</v>
      </c>
      <c r="J40" s="42">
        <v>37</v>
      </c>
      <c r="K40" s="42">
        <v>42</v>
      </c>
      <c r="L40" s="42">
        <v>14</v>
      </c>
      <c r="M40" s="42">
        <v>10</v>
      </c>
      <c r="N40" s="42">
        <v>19</v>
      </c>
      <c r="O40" s="42">
        <v>122</v>
      </c>
    </row>
    <row r="41" spans="1:15" x14ac:dyDescent="0.35">
      <c r="A41" s="21" t="s">
        <v>43</v>
      </c>
      <c r="B41" s="42">
        <v>13</v>
      </c>
      <c r="C41" s="42">
        <v>41</v>
      </c>
      <c r="D41" s="42">
        <v>6</v>
      </c>
      <c r="E41" s="42">
        <v>13</v>
      </c>
      <c r="F41" s="42">
        <v>10</v>
      </c>
      <c r="G41" s="33">
        <v>83</v>
      </c>
      <c r="I41" s="2" t="s">
        <v>19</v>
      </c>
      <c r="J41" s="22">
        <v>131</v>
      </c>
      <c r="K41" s="22">
        <v>247</v>
      </c>
      <c r="L41" s="22">
        <v>94</v>
      </c>
      <c r="M41" s="22">
        <v>166</v>
      </c>
      <c r="N41" s="22">
        <v>89</v>
      </c>
      <c r="O41" s="22">
        <v>727</v>
      </c>
    </row>
    <row r="42" spans="1:15" x14ac:dyDescent="0.35">
      <c r="A42" s="2" t="s">
        <v>29</v>
      </c>
      <c r="B42" s="42">
        <v>131</v>
      </c>
      <c r="C42" s="42">
        <v>247</v>
      </c>
      <c r="D42" s="42">
        <v>94</v>
      </c>
      <c r="E42" s="42">
        <v>166</v>
      </c>
      <c r="F42" s="42">
        <v>89</v>
      </c>
      <c r="G42" s="33">
        <v>727</v>
      </c>
    </row>
    <row r="43" spans="1:15" x14ac:dyDescent="0.35">
      <c r="A43" s="2" t="s">
        <v>19</v>
      </c>
      <c r="B43" s="20">
        <v>131</v>
      </c>
      <c r="C43" s="20">
        <v>247</v>
      </c>
      <c r="D43" s="20">
        <v>94</v>
      </c>
      <c r="E43" s="20">
        <v>166</v>
      </c>
      <c r="F43" s="20">
        <v>89</v>
      </c>
      <c r="G43" s="33">
        <v>727</v>
      </c>
      <c r="I43" s="1" t="s">
        <v>18</v>
      </c>
      <c r="J43" t="s">
        <v>23</v>
      </c>
    </row>
    <row r="44" spans="1:15" x14ac:dyDescent="0.35">
      <c r="I44" s="2" t="s">
        <v>0</v>
      </c>
      <c r="J44" s="42">
        <v>220</v>
      </c>
    </row>
    <row r="45" spans="1:15" x14ac:dyDescent="0.35">
      <c r="I45" s="2" t="s">
        <v>1</v>
      </c>
      <c r="J45" s="42">
        <v>206</v>
      </c>
    </row>
    <row r="46" spans="1:15" x14ac:dyDescent="0.35">
      <c r="I46" s="2" t="s">
        <v>2</v>
      </c>
      <c r="J46" s="42">
        <v>158</v>
      </c>
    </row>
    <row r="47" spans="1:15" x14ac:dyDescent="0.35">
      <c r="I47" s="2" t="s">
        <v>3</v>
      </c>
      <c r="J47" s="42">
        <v>143</v>
      </c>
    </row>
    <row r="48" spans="1:15" x14ac:dyDescent="0.35">
      <c r="I48" s="2" t="s">
        <v>19</v>
      </c>
      <c r="J48" s="22">
        <v>727</v>
      </c>
    </row>
    <row r="70" spans="12:12" x14ac:dyDescent="0.35">
      <c r="L70" s="2"/>
    </row>
    <row r="71" spans="12:12" x14ac:dyDescent="0.35">
      <c r="L71" s="2"/>
    </row>
    <row r="72" spans="12:12" x14ac:dyDescent="0.35">
      <c r="L72" s="2"/>
    </row>
    <row r="73" spans="12:12" x14ac:dyDescent="0.35">
      <c r="L73" s="2"/>
    </row>
    <row r="74" spans="12:12" x14ac:dyDescent="0.35">
      <c r="L74" s="2"/>
    </row>
    <row r="75" spans="12:12" x14ac:dyDescent="0.35">
      <c r="L75" s="2"/>
    </row>
    <row r="76" spans="12:12" x14ac:dyDescent="0.35">
      <c r="L76" s="2"/>
    </row>
    <row r="77" spans="12:12" x14ac:dyDescent="0.35">
      <c r="L77" s="2"/>
    </row>
    <row r="78" spans="12:12" x14ac:dyDescent="0.35">
      <c r="L78" s="2"/>
    </row>
    <row r="79" spans="12:12" x14ac:dyDescent="0.35">
      <c r="L79" s="2"/>
    </row>
    <row r="80" spans="12:12" x14ac:dyDescent="0.35">
      <c r="L80" s="2"/>
    </row>
    <row r="81" spans="12:13" x14ac:dyDescent="0.35">
      <c r="L81" s="2"/>
    </row>
    <row r="82" spans="12:13" x14ac:dyDescent="0.35">
      <c r="L82" s="2"/>
    </row>
    <row r="83" spans="12:13" x14ac:dyDescent="0.35">
      <c r="L83" s="2"/>
    </row>
    <row r="84" spans="12:13" x14ac:dyDescent="0.35">
      <c r="L84" s="2"/>
      <c r="M84" s="20"/>
    </row>
  </sheetData>
  <mergeCells count="2">
    <mergeCell ref="H11:H19"/>
    <mergeCell ref="I11:I1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53A09-274B-41AE-BDC2-3A3E7A3D1C27}">
  <sheetPr codeName="Sheet1"/>
  <dimension ref="D4:T41"/>
  <sheetViews>
    <sheetView tabSelected="1" topLeftCell="B1" zoomScale="89" workbookViewId="0">
      <selection activeCell="P19" sqref="P19"/>
    </sheetView>
  </sheetViews>
  <sheetFormatPr defaultRowHeight="14" x14ac:dyDescent="0.3"/>
  <cols>
    <col min="1" max="2" width="9.08984375" style="3" customWidth="1"/>
    <col min="3" max="3" width="9.1796875" style="3" customWidth="1"/>
    <col min="4" max="4" width="9.26953125" style="3" customWidth="1"/>
    <col min="5" max="16384" width="8.7265625" style="3"/>
  </cols>
  <sheetData>
    <row r="4" spans="4:20" ht="9.5" customHeight="1" x14ac:dyDescent="0.3"/>
    <row r="5" spans="4:20" ht="14.5" customHeight="1" x14ac:dyDescent="0.3">
      <c r="D5" s="37" t="s">
        <v>17</v>
      </c>
      <c r="E5" s="37"/>
      <c r="F5" s="37"/>
      <c r="G5" s="37"/>
      <c r="H5" s="37"/>
      <c r="I5" s="37"/>
      <c r="J5" s="37"/>
      <c r="K5" s="37"/>
      <c r="L5" s="37"/>
      <c r="M5" s="37"/>
      <c r="N5" s="37"/>
      <c r="O5" s="37"/>
      <c r="P5" s="37"/>
      <c r="Q5" s="37"/>
      <c r="R5" s="37"/>
      <c r="S5" s="37"/>
      <c r="T5" s="4"/>
    </row>
    <row r="6" spans="4:20" ht="26.5" customHeight="1" x14ac:dyDescent="0.3">
      <c r="D6" s="37"/>
      <c r="E6" s="37"/>
      <c r="F6" s="37"/>
      <c r="G6" s="37"/>
      <c r="H6" s="37"/>
      <c r="I6" s="37"/>
      <c r="J6" s="37"/>
      <c r="K6" s="37"/>
      <c r="L6" s="37"/>
      <c r="M6" s="37"/>
      <c r="N6" s="37"/>
      <c r="O6" s="37"/>
      <c r="P6" s="37"/>
      <c r="Q6" s="37"/>
      <c r="R6" s="37"/>
      <c r="S6" s="37"/>
      <c r="T6" s="4"/>
    </row>
    <row r="7" spans="4:20" ht="7" customHeight="1" x14ac:dyDescent="0.3">
      <c r="D7" s="13"/>
      <c r="E7" s="14"/>
      <c r="F7" s="14"/>
      <c r="G7" s="14"/>
      <c r="H7" s="17"/>
      <c r="I7" s="17"/>
      <c r="J7" s="17"/>
      <c r="K7" s="17"/>
      <c r="L7" s="16"/>
      <c r="M7" s="16"/>
      <c r="N7" s="16"/>
      <c r="O7" s="16"/>
      <c r="P7" s="15"/>
      <c r="Q7" s="15"/>
      <c r="R7" s="15"/>
      <c r="S7" s="18"/>
      <c r="T7" s="4"/>
    </row>
    <row r="8" spans="4:20" x14ac:dyDescent="0.3">
      <c r="D8" s="8"/>
      <c r="E8" s="6"/>
      <c r="F8" s="6"/>
      <c r="G8" s="6"/>
      <c r="H8" s="6"/>
      <c r="I8" s="6"/>
      <c r="J8" s="6"/>
      <c r="K8" s="6"/>
      <c r="L8" s="6"/>
      <c r="M8" s="6"/>
      <c r="N8" s="6"/>
      <c r="O8" s="6"/>
      <c r="P8" s="6"/>
      <c r="Q8" s="6"/>
      <c r="R8" s="6"/>
      <c r="S8" s="9"/>
    </row>
    <row r="9" spans="4:20" x14ac:dyDescent="0.3">
      <c r="D9" s="8"/>
      <c r="E9" s="6"/>
      <c r="F9" s="6"/>
      <c r="G9" s="6"/>
      <c r="H9" s="6"/>
      <c r="I9" s="6"/>
      <c r="J9" s="6"/>
      <c r="K9" s="6"/>
      <c r="L9" s="6"/>
      <c r="M9" s="6"/>
      <c r="N9" s="6"/>
      <c r="O9" s="6"/>
      <c r="P9" s="6"/>
      <c r="Q9" s="6"/>
      <c r="R9" s="6"/>
      <c r="S9" s="9"/>
    </row>
    <row r="10" spans="4:20" ht="17.5" x14ac:dyDescent="0.35">
      <c r="D10" s="8"/>
      <c r="E10" s="6"/>
      <c r="F10" s="6"/>
      <c r="G10" s="6"/>
      <c r="H10" s="6"/>
      <c r="I10" s="6"/>
      <c r="J10" s="40" t="s">
        <v>11</v>
      </c>
      <c r="K10" s="40"/>
      <c r="L10" s="40"/>
      <c r="M10" s="40"/>
      <c r="N10" s="7"/>
      <c r="O10" s="6"/>
      <c r="P10" s="6"/>
      <c r="Q10" s="6"/>
      <c r="R10" s="6"/>
      <c r="S10" s="9"/>
    </row>
    <row r="11" spans="4:20" x14ac:dyDescent="0.3">
      <c r="D11" s="8"/>
      <c r="E11" s="6"/>
      <c r="F11" s="6"/>
      <c r="G11" s="6"/>
      <c r="H11" s="6"/>
      <c r="I11" s="6"/>
      <c r="J11" s="6"/>
      <c r="K11" s="6"/>
      <c r="L11" s="6"/>
      <c r="M11" s="6"/>
      <c r="N11" s="6"/>
      <c r="O11" s="6"/>
      <c r="P11" s="6"/>
      <c r="Q11" s="6"/>
      <c r="R11" s="6"/>
      <c r="S11" s="9"/>
    </row>
    <row r="12" spans="4:20" x14ac:dyDescent="0.3">
      <c r="D12" s="6"/>
      <c r="E12" s="6"/>
      <c r="F12" s="6"/>
      <c r="G12" s="6"/>
      <c r="H12" s="6"/>
      <c r="I12" s="6"/>
      <c r="J12" s="6"/>
      <c r="K12" s="6"/>
      <c r="L12" s="6"/>
      <c r="M12" s="6"/>
      <c r="N12" s="6"/>
      <c r="O12" s="6"/>
      <c r="P12" s="6"/>
      <c r="Q12" s="6"/>
      <c r="R12" s="6"/>
      <c r="S12" s="9"/>
    </row>
    <row r="13" spans="4:20" ht="20" customHeight="1" x14ac:dyDescent="0.3">
      <c r="D13" s="8"/>
      <c r="E13" s="6"/>
      <c r="F13" s="6"/>
      <c r="G13" s="6"/>
      <c r="H13" s="6"/>
      <c r="I13" s="6"/>
      <c r="J13" s="6"/>
      <c r="K13" s="6"/>
      <c r="L13" s="6"/>
      <c r="M13" s="6"/>
      <c r="N13" s="6"/>
      <c r="O13" s="6"/>
      <c r="P13" s="6"/>
      <c r="Q13" s="6"/>
      <c r="R13" s="6"/>
      <c r="S13" s="9"/>
    </row>
    <row r="14" spans="4:20" ht="17.5" x14ac:dyDescent="0.35">
      <c r="D14" s="39" t="s">
        <v>10</v>
      </c>
      <c r="E14" s="40"/>
      <c r="F14" s="40"/>
      <c r="G14" s="40"/>
      <c r="H14" s="40"/>
      <c r="I14" s="40"/>
      <c r="J14" s="40"/>
      <c r="K14" s="40"/>
      <c r="L14" s="40"/>
      <c r="M14" s="40"/>
      <c r="N14" s="40"/>
      <c r="O14" s="40"/>
      <c r="P14" s="40"/>
      <c r="Q14" s="40"/>
      <c r="R14" s="40"/>
      <c r="S14" s="41"/>
      <c r="T14" s="5"/>
    </row>
    <row r="15" spans="4:20" x14ac:dyDescent="0.3">
      <c r="D15" s="8"/>
      <c r="E15" s="6"/>
      <c r="F15" s="6"/>
      <c r="G15" s="6"/>
      <c r="H15" s="6"/>
      <c r="I15" s="6"/>
      <c r="J15" s="6"/>
      <c r="K15" s="6"/>
      <c r="L15" s="6"/>
      <c r="M15" s="6"/>
      <c r="N15" s="6"/>
      <c r="O15" s="6"/>
      <c r="P15" s="6"/>
      <c r="Q15" s="6"/>
      <c r="R15" s="6"/>
      <c r="S15" s="9"/>
    </row>
    <row r="16" spans="4:20" x14ac:dyDescent="0.3">
      <c r="D16" s="8"/>
      <c r="E16" s="38" t="s">
        <v>12</v>
      </c>
      <c r="F16" s="38"/>
      <c r="G16" s="38"/>
      <c r="H16" s="38"/>
      <c r="I16" s="6"/>
      <c r="J16" s="38" t="s">
        <v>13</v>
      </c>
      <c r="K16" s="38"/>
      <c r="L16" s="38"/>
      <c r="M16" s="38"/>
      <c r="N16" s="6"/>
      <c r="O16" s="38" t="s">
        <v>14</v>
      </c>
      <c r="P16" s="38"/>
      <c r="Q16" s="38"/>
      <c r="R16" s="38"/>
      <c r="S16" s="9"/>
    </row>
    <row r="17" spans="4:19" x14ac:dyDescent="0.3">
      <c r="D17" s="8"/>
      <c r="E17" s="6"/>
      <c r="F17" s="6"/>
      <c r="G17" s="6"/>
      <c r="H17" s="6"/>
      <c r="I17" s="6"/>
      <c r="J17" s="6"/>
      <c r="K17" s="6"/>
      <c r="L17" s="6"/>
      <c r="M17" s="6"/>
      <c r="N17" s="6"/>
      <c r="O17" s="6"/>
      <c r="P17" s="6"/>
      <c r="Q17" s="6"/>
      <c r="R17" s="6"/>
      <c r="S17" s="9"/>
    </row>
    <row r="18" spans="4:19" x14ac:dyDescent="0.3">
      <c r="D18" s="8"/>
      <c r="E18" s="6"/>
      <c r="F18" s="6"/>
      <c r="G18" s="6"/>
      <c r="H18" s="6"/>
      <c r="I18" s="6"/>
      <c r="J18" s="6"/>
      <c r="K18" s="6"/>
      <c r="L18" s="6"/>
      <c r="M18" s="6"/>
      <c r="N18" s="6"/>
      <c r="O18" s="6"/>
      <c r="P18" s="6"/>
      <c r="Q18" s="6"/>
      <c r="R18" s="6"/>
      <c r="S18" s="9"/>
    </row>
    <row r="19" spans="4:19" x14ac:dyDescent="0.3">
      <c r="D19" s="8"/>
      <c r="E19" s="6"/>
      <c r="F19" s="6"/>
      <c r="G19" s="6"/>
      <c r="H19" s="6"/>
      <c r="I19" s="6"/>
      <c r="J19" s="6"/>
      <c r="K19" s="6"/>
      <c r="L19" s="6"/>
      <c r="M19" s="6"/>
      <c r="N19" s="6"/>
      <c r="O19" s="6"/>
      <c r="P19" s="6"/>
      <c r="Q19" s="6"/>
      <c r="R19" s="6"/>
      <c r="S19" s="9"/>
    </row>
    <row r="20" spans="4:19" x14ac:dyDescent="0.3">
      <c r="D20" s="8"/>
      <c r="E20" s="6"/>
      <c r="F20" s="6"/>
      <c r="G20" s="6"/>
      <c r="H20" s="6"/>
      <c r="I20" s="6"/>
      <c r="J20" s="6"/>
      <c r="K20" s="6"/>
      <c r="L20" s="6"/>
      <c r="M20" s="6"/>
      <c r="N20" s="6"/>
      <c r="O20" s="6"/>
      <c r="P20" s="6"/>
      <c r="Q20" s="6"/>
      <c r="R20" s="6"/>
      <c r="S20" s="9"/>
    </row>
    <row r="21" spans="4:19" x14ac:dyDescent="0.3">
      <c r="D21" s="8"/>
      <c r="E21" s="6" t="s">
        <v>16</v>
      </c>
      <c r="F21" s="6"/>
      <c r="G21" s="6"/>
      <c r="H21" s="6"/>
      <c r="I21" s="6"/>
      <c r="J21" s="6"/>
      <c r="K21" s="6"/>
      <c r="L21" s="6"/>
      <c r="M21" s="6"/>
      <c r="N21" s="6"/>
      <c r="O21" s="6"/>
      <c r="P21" s="6"/>
      <c r="Q21" s="6"/>
      <c r="R21" s="6"/>
      <c r="S21" s="9"/>
    </row>
    <row r="22" spans="4:19" x14ac:dyDescent="0.3">
      <c r="D22" s="8"/>
      <c r="E22" s="6" t="s">
        <v>15</v>
      </c>
      <c r="F22" s="6"/>
      <c r="G22" s="6"/>
      <c r="H22" s="6"/>
      <c r="I22" s="6"/>
      <c r="J22" s="6"/>
      <c r="K22" s="6"/>
      <c r="L22" s="6"/>
      <c r="M22" s="6"/>
      <c r="N22" s="6"/>
      <c r="O22" s="6"/>
      <c r="P22" s="6"/>
      <c r="Q22" s="6"/>
      <c r="R22" s="6"/>
      <c r="S22" s="9"/>
    </row>
    <row r="23" spans="4:19" x14ac:dyDescent="0.3">
      <c r="D23" s="8"/>
      <c r="E23" s="6" t="s">
        <v>22</v>
      </c>
      <c r="F23" s="6"/>
      <c r="G23" s="6"/>
      <c r="H23" s="6"/>
      <c r="I23" s="6"/>
      <c r="J23" s="6"/>
      <c r="K23" s="6"/>
      <c r="L23" s="19"/>
      <c r="M23" s="6"/>
      <c r="N23" s="6"/>
      <c r="O23" s="6"/>
      <c r="P23" s="6"/>
      <c r="Q23" s="6"/>
      <c r="R23" s="6"/>
      <c r="S23" s="9"/>
    </row>
    <row r="24" spans="4:19" x14ac:dyDescent="0.3">
      <c r="D24" s="8"/>
      <c r="E24" s="6"/>
      <c r="F24" s="6"/>
      <c r="G24" s="6"/>
      <c r="H24" s="6"/>
      <c r="I24" s="6"/>
      <c r="J24" s="6"/>
      <c r="K24" s="6"/>
      <c r="L24" s="6"/>
      <c r="M24" s="6"/>
      <c r="N24" s="6"/>
      <c r="O24" s="6"/>
      <c r="P24" s="6"/>
      <c r="Q24" s="6"/>
      <c r="R24" s="6"/>
      <c r="S24" s="9"/>
    </row>
    <row r="25" spans="4:19" x14ac:dyDescent="0.3">
      <c r="D25" s="8"/>
      <c r="E25" s="6"/>
      <c r="F25" s="6"/>
      <c r="G25" s="6"/>
      <c r="H25" s="6"/>
      <c r="I25" s="6"/>
      <c r="J25" s="6"/>
      <c r="K25" s="6"/>
      <c r="L25" s="6"/>
      <c r="M25" s="6"/>
      <c r="N25" s="6"/>
      <c r="O25" s="6"/>
      <c r="P25" s="6"/>
      <c r="Q25" s="6"/>
      <c r="R25" s="6"/>
      <c r="S25" s="9"/>
    </row>
    <row r="26" spans="4:19" x14ac:dyDescent="0.3">
      <c r="D26" s="10"/>
      <c r="E26" s="11"/>
      <c r="F26" s="11"/>
      <c r="G26" s="11"/>
      <c r="H26" s="11"/>
      <c r="I26" s="11"/>
      <c r="J26" s="11"/>
      <c r="K26" s="11"/>
      <c r="L26" s="11"/>
      <c r="M26" s="11"/>
      <c r="N26" s="11"/>
      <c r="O26" s="11"/>
      <c r="P26" s="11"/>
      <c r="Q26" s="11"/>
      <c r="R26" s="11"/>
      <c r="S26" s="12"/>
    </row>
    <row r="41" spans="4:4" x14ac:dyDescent="0.3">
      <c r="D41" s="3" t="s">
        <v>20</v>
      </c>
    </row>
  </sheetData>
  <mergeCells count="6">
    <mergeCell ref="D5:S6"/>
    <mergeCell ref="E16:H16"/>
    <mergeCell ref="J16:M16"/>
    <mergeCell ref="O16:R16"/>
    <mergeCell ref="D14:S14"/>
    <mergeCell ref="J10:M1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ImportDataToNewSheet">
                <anchor moveWithCells="1" sizeWithCells="1">
                  <from>
                    <xdr:col>8</xdr:col>
                    <xdr:colOff>12700</xdr:colOff>
                    <xdr:row>10</xdr:row>
                    <xdr:rowOff>95250</xdr:rowOff>
                  </from>
                  <to>
                    <xdr:col>14</xdr:col>
                    <xdr:colOff>0</xdr:colOff>
                    <xdr:row>12</xdr:row>
                    <xdr:rowOff>107950</xdr:rowOff>
                  </to>
                </anchor>
              </controlPr>
            </control>
          </mc:Choice>
        </mc:AlternateContent>
        <mc:AlternateContent xmlns:mc="http://schemas.openxmlformats.org/markup-compatibility/2006">
          <mc:Choice Requires="x14">
            <control shapeId="1031" r:id="rId4" name="Button 7">
              <controlPr defaultSize="0" print="0" autoFill="0" autoPict="0" macro="[0]!UnionCustData">
                <anchor moveWithCells="1" sizeWithCells="1">
                  <from>
                    <xdr:col>4</xdr:col>
                    <xdr:colOff>6350</xdr:colOff>
                    <xdr:row>16</xdr:row>
                    <xdr:rowOff>101600</xdr:rowOff>
                  </from>
                  <to>
                    <xdr:col>7</xdr:col>
                    <xdr:colOff>603250</xdr:colOff>
                    <xdr:row>18</xdr:row>
                    <xdr:rowOff>120650</xdr:rowOff>
                  </to>
                </anchor>
              </controlPr>
            </control>
          </mc:Choice>
        </mc:AlternateContent>
        <mc:AlternateContent xmlns:mc="http://schemas.openxmlformats.org/markup-compatibility/2006">
          <mc:Choice Requires="x14">
            <control shapeId="1032" r:id="rId5" name="Button 8">
              <controlPr defaultSize="0" print="0" autoFill="0" autoPict="0" macro="[0]!UnionProdData">
                <anchor moveWithCells="1" sizeWithCells="1">
                  <from>
                    <xdr:col>9</xdr:col>
                    <xdr:colOff>6350</xdr:colOff>
                    <xdr:row>16</xdr:row>
                    <xdr:rowOff>101600</xdr:rowOff>
                  </from>
                  <to>
                    <xdr:col>12</xdr:col>
                    <xdr:colOff>603250</xdr:colOff>
                    <xdr:row>18</xdr:row>
                    <xdr:rowOff>120650</xdr:rowOff>
                  </to>
                </anchor>
              </controlPr>
            </control>
          </mc:Choice>
        </mc:AlternateContent>
        <mc:AlternateContent xmlns:mc="http://schemas.openxmlformats.org/markup-compatibility/2006">
          <mc:Choice Requires="x14">
            <control shapeId="1033" r:id="rId6" name="Button 9">
              <controlPr defaultSize="0" print="0" autoFill="0" autoPict="0" macro="[0]!UnionSalesData">
                <anchor moveWithCells="1" sizeWithCells="1">
                  <from>
                    <xdr:col>14</xdr:col>
                    <xdr:colOff>6350</xdr:colOff>
                    <xdr:row>16</xdr:row>
                    <xdr:rowOff>101600</xdr:rowOff>
                  </from>
                  <to>
                    <xdr:col>17</xdr:col>
                    <xdr:colOff>603250</xdr:colOff>
                    <xdr:row>18</xdr:row>
                    <xdr:rowOff>120650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B50CFAB1-1F87-4EDA-8552-CFA5F2CB12BA}">
  <ds:schemaRefs/>
</ds:datastoreItem>
</file>

<file path=customXml/itemProps2.xml><?xml version="1.0" encoding="utf-8"?>
<ds:datastoreItem xmlns:ds="http://schemas.openxmlformats.org/officeDocument/2006/customXml" ds:itemID="{FED4B48E-85F5-458F-A6D3-0755779C63AE}">
  <ds:schemaRefs/>
</ds:datastoreItem>
</file>

<file path=customXml/itemProps3.xml><?xml version="1.0" encoding="utf-8"?>
<ds:datastoreItem xmlns:ds="http://schemas.openxmlformats.org/officeDocument/2006/customXml" ds:itemID="{55CE5ADB-FA28-427F-9271-B5DD52FD2F75}">
  <ds:schemaRefs/>
</ds:datastoreItem>
</file>

<file path=customXml/itemProps4.xml><?xml version="1.0" encoding="utf-8"?>
<ds:datastoreItem xmlns:ds="http://schemas.openxmlformats.org/officeDocument/2006/customXml" ds:itemID="{FB878F55-BBE0-4946-9070-34CA278CB993}">
  <ds:schemaRefs/>
</ds:datastoreItem>
</file>

<file path=customXml/itemProps5.xml><?xml version="1.0" encoding="utf-8"?>
<ds:datastoreItem xmlns:ds="http://schemas.openxmlformats.org/officeDocument/2006/customXml" ds:itemID="{13A8273E-3B6F-4EBA-B87E-DE35F61E22E9}">
  <ds:schemaRefs/>
</ds:datastoreItem>
</file>

<file path=customXml/itemProps6.xml><?xml version="1.0" encoding="utf-8"?>
<ds:datastoreItem xmlns:ds="http://schemas.openxmlformats.org/officeDocument/2006/customXml" ds:itemID="{C7E8C4AC-2715-4AEA-9D72-BC9B7FE12306}">
  <ds:schemaRefs/>
</ds:datastoreItem>
</file>

<file path=customXml/itemProps7.xml><?xml version="1.0" encoding="utf-8"?>
<ds:datastoreItem xmlns:ds="http://schemas.openxmlformats.org/officeDocument/2006/customXml" ds:itemID="{40367D68-0759-478C-8D32-876A19D3C06C}">
  <ds:schemaRefs/>
</ds:datastoreItem>
</file>

<file path=customXml/itemProps8.xml><?xml version="1.0" encoding="utf-8"?>
<ds:datastoreItem xmlns:ds="http://schemas.openxmlformats.org/officeDocument/2006/customXml" ds:itemID="{7CE70932-2E74-4925-A9CD-C5B1200DBBE4}">
  <ds:schemaRefs/>
</ds:datastoreItem>
</file>

<file path=customXml/itemProps9.xml><?xml version="1.0" encoding="utf-8"?>
<ds:datastoreItem xmlns:ds="http://schemas.openxmlformats.org/officeDocument/2006/customXml" ds:itemID="{21A1E1C3-F2E6-4221-945E-7D6ACA46B6DC}">
  <ds:schemaRefs/>
</ds:datastoreItem>
</file>

<file path=customXml/itemProps10.xml><?xml version="1.0" encoding="utf-8"?>
<ds:datastoreItem xmlns:ds="http://schemas.openxmlformats.org/officeDocument/2006/customXml" ds:itemID="{29FCF91B-B07B-419E-BF6F-82E807A30657}">
  <ds:schemaRefs/>
</ds:datastoreItem>
</file>

<file path=customXml/itemProps11.xml><?xml version="1.0" encoding="utf-8"?>
<ds:datastoreItem xmlns:ds="http://schemas.openxmlformats.org/officeDocument/2006/customXml" ds:itemID="{A935DE3F-7EFB-456F-AF85-35A0F23C564E}">
  <ds:schemaRefs/>
</ds:datastoreItem>
</file>

<file path=customXml/itemProps12.xml><?xml version="1.0" encoding="utf-8"?>
<ds:datastoreItem xmlns:ds="http://schemas.openxmlformats.org/officeDocument/2006/customXml" ds:itemID="{9ABCF4DF-79B1-4FDE-A77C-7091F2B928B0}">
  <ds:schemaRefs/>
</ds:datastoreItem>
</file>

<file path=customXml/itemProps13.xml><?xml version="1.0" encoding="utf-8"?>
<ds:datastoreItem xmlns:ds="http://schemas.openxmlformats.org/officeDocument/2006/customXml" ds:itemID="{097F73DE-F935-4432-803B-B72B03D65E45}">
  <ds:schemaRefs/>
</ds:datastoreItem>
</file>

<file path=customXml/itemProps14.xml><?xml version="1.0" encoding="utf-8"?>
<ds:datastoreItem xmlns:ds="http://schemas.openxmlformats.org/officeDocument/2006/customXml" ds:itemID="{60702DF9-72B2-4596-9AE3-488EEA459C5F}">
  <ds:schemaRefs/>
</ds:datastoreItem>
</file>

<file path=customXml/itemProps15.xml><?xml version="1.0" encoding="utf-8"?>
<ds:datastoreItem xmlns:ds="http://schemas.openxmlformats.org/officeDocument/2006/customXml" ds:itemID="{9391D477-279B-4387-BFAF-44DCBB8EC4DD}">
  <ds:schemaRefs/>
</ds:datastoreItem>
</file>

<file path=customXml/itemProps16.xml><?xml version="1.0" encoding="utf-8"?>
<ds:datastoreItem xmlns:ds="http://schemas.openxmlformats.org/officeDocument/2006/customXml" ds:itemID="{BC66000C-9F32-42CE-B292-7D088D4074E5}">
  <ds:schemaRefs/>
</ds:datastoreItem>
</file>

<file path=customXml/itemProps17.xml><?xml version="1.0" encoding="utf-8"?>
<ds:datastoreItem xmlns:ds="http://schemas.openxmlformats.org/officeDocument/2006/customXml" ds:itemID="{5E1AE6D0-4099-4642-AE68-8559D38C9D7B}">
  <ds:schemaRefs/>
</ds:datastoreItem>
</file>

<file path=customXml/itemProps18.xml><?xml version="1.0" encoding="utf-8"?>
<ds:datastoreItem xmlns:ds="http://schemas.openxmlformats.org/officeDocument/2006/customXml" ds:itemID="{45FD4ADF-BF56-4DA8-9AC0-F71C0154C616}">
  <ds:schemaRefs/>
</ds:datastoreItem>
</file>

<file path=customXml/itemProps19.xml><?xml version="1.0" encoding="utf-8"?>
<ds:datastoreItem xmlns:ds="http://schemas.openxmlformats.org/officeDocument/2006/customXml" ds:itemID="{C6BF866F-5603-42DE-B96F-48D20BAFEA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Dasbor</vt:lpstr>
      <vt:lpstr>PivotTable</vt:lpstr>
      <vt:lpstr>Import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Azriel Akbar Alfajri</dc:creator>
  <cp:lastModifiedBy>Azriel Akbar Alfajri</cp:lastModifiedBy>
  <dcterms:created xsi:type="dcterms:W3CDTF">2024-11-10T12:49:41Z</dcterms:created>
  <dcterms:modified xsi:type="dcterms:W3CDTF">2024-11-13T08:15:18Z</dcterms:modified>
</cp:coreProperties>
</file>